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1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1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1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10.68.111.30\equipamiento_clinico\Equipos médicos críticos\"/>
    </mc:Choice>
  </mc:AlternateContent>
  <xr:revisionPtr revIDLastSave="0" documentId="13_ncr:1_{B17B44C0-739C-4846-A732-2383F2C66001}" xr6:coauthVersionLast="47" xr6:coauthVersionMax="47" xr10:uidLastSave="{00000000-0000-0000-0000-000000000000}"/>
  <bookViews>
    <workbookView xWindow="-120" yWindow="-120" windowWidth="29040" windowHeight="15720" tabRatio="859" activeTab="6" xr2:uid="{00000000-000D-0000-FFFF-FFFF00000000}"/>
  </bookViews>
  <sheets>
    <sheet name="INDICE" sheetId="108" r:id="rId1"/>
    <sheet name="Monitores" sheetId="1" r:id="rId2"/>
    <sheet name="Oximetro" sheetId="5" r:id="rId3"/>
    <sheet name="DEA" sheetId="9" r:id="rId4"/>
    <sheet name="Desfibriladores" sheetId="8" r:id="rId5"/>
    <sheet name="DEA-dia DEFIBTECH" sheetId="10" r:id="rId6"/>
    <sheet name="DEA-G.P" sheetId="104" r:id="rId7"/>
    <sheet name="DEA 1-SAMU" sheetId="103" r:id="rId8"/>
    <sheet name="DEA 2-SAMU" sheetId="105" r:id="rId9"/>
    <sheet name="DEA 3-SAMU" sheetId="112" r:id="rId10"/>
    <sheet name="DEA-UEPI " sheetId="107" r:id="rId11"/>
    <sheet name="DEA-CEM 1 PISO" sheetId="109" r:id="rId12"/>
    <sheet name="DEA-CEM 3 PISO" sheetId="110" r:id="rId13"/>
    <sheet name="Ventiladores" sheetId="99" r:id="rId14"/>
    <sheet name="MAnestesia" sheetId="11" r:id="rId15"/>
    <sheet name="Incubadoras Semestral" sheetId="7" r:id="rId16"/>
    <sheet name="Incubadoras Trimestral" sheetId="106" r:id="rId17"/>
    <sheet name="Diálisis" sheetId="102" r:id="rId18"/>
  </sheets>
  <externalReferences>
    <externalReference r:id="rId19"/>
  </externalReferences>
  <definedNames>
    <definedName name="_xlnm.Print_Area" localSheetId="3">DEA!$A$1:$L$23</definedName>
    <definedName name="_xlnm.Print_Area" localSheetId="4">Desfibriladores!$A$1:$M$44</definedName>
    <definedName name="_xlnm.Print_Area" localSheetId="17">Diálisis!$B$1:$K$45</definedName>
    <definedName name="_xlnm.Print_Area" localSheetId="15">'Incubadoras Semestral'!$B$1:$L$46</definedName>
    <definedName name="_xlnm.Print_Area" localSheetId="16">'Incubadoras Trimestral'!$C$1:$L$23</definedName>
    <definedName name="_xlnm.Print_Area" localSheetId="14">MAnestesia!$A$1:$L$38</definedName>
    <definedName name="_xlnm.Print_Area" localSheetId="1">Monitores!$A$1:$L$44</definedName>
    <definedName name="_xlnm.Print_Area" localSheetId="2">Oximetro!$B$1:$L$38</definedName>
    <definedName name="_xlnm.Print_Area" localSheetId="13">Ventiladores!$A$1:$L$38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D9" i="99"/>
  <c r="D8" i="99"/>
  <c r="D7" i="99"/>
  <c r="H9" i="99"/>
  <c r="K8" i="99"/>
  <c r="K7" i="99"/>
  <c r="K6" i="1"/>
  <c r="C7" i="1"/>
  <c r="C6" i="1"/>
  <c r="H5" i="1"/>
  <c r="G8" i="102"/>
  <c r="J7" i="102"/>
  <c r="J6" i="102"/>
  <c r="C8" i="102"/>
  <c r="C7" i="102"/>
  <c r="C6" i="102"/>
  <c r="D7" i="106"/>
  <c r="D6" i="106"/>
  <c r="K6" i="106"/>
  <c r="J5" i="106"/>
  <c r="J4" i="106"/>
  <c r="D7" i="7"/>
  <c r="D6" i="7"/>
  <c r="K6" i="7"/>
  <c r="J5" i="7"/>
  <c r="J4" i="7"/>
  <c r="H9" i="11"/>
  <c r="K8" i="11"/>
  <c r="K7" i="11"/>
  <c r="D9" i="11"/>
  <c r="D8" i="11"/>
  <c r="D7" i="11"/>
  <c r="I9" i="8"/>
  <c r="L8" i="8"/>
  <c r="L7" i="8"/>
  <c r="D9" i="8"/>
  <c r="D8" i="8"/>
  <c r="D7" i="8"/>
  <c r="H8" i="9"/>
  <c r="K7" i="9"/>
  <c r="K6" i="9"/>
  <c r="D8" i="9"/>
  <c r="D7" i="9"/>
  <c r="D6" i="9"/>
  <c r="C7" i="5"/>
  <c r="C6" i="5"/>
  <c r="H5" i="5"/>
  <c r="K6" i="5"/>
  <c r="K4" i="5"/>
  <c r="M12" i="9"/>
  <c r="M5" i="5"/>
  <c r="M5" i="1"/>
  <c r="N1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SIM</author>
  </authors>
  <commentList>
    <comment ref="L3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Excepto N°:
- 329
- 330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SIM</author>
  </authors>
  <commentList>
    <comment ref="L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SIM:</t>
        </r>
        <r>
          <rPr>
            <sz val="9"/>
            <color indexed="81"/>
            <rFont val="Tahoma"/>
            <family val="2"/>
          </rPr>
          <t xml:space="preserve">
329
330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SIM</author>
  </authors>
  <commentList>
    <comment ref="L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Sólo Carpetas 46, 48 
y entre los N° 54 al 61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SIM</author>
  </authors>
  <commentList>
    <comment ref="M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Excepto Carpetas entre 
N° 54 a 61</t>
        </r>
      </text>
    </comment>
  </commentList>
</comments>
</file>

<file path=xl/sharedStrings.xml><?xml version="1.0" encoding="utf-8"?>
<sst xmlns="http://schemas.openxmlformats.org/spreadsheetml/2006/main" count="913" uniqueCount="289">
  <si>
    <t>REPORTE TECNICO</t>
  </si>
  <si>
    <t>Carpeta N°</t>
  </si>
  <si>
    <t>PREVENTIVA</t>
  </si>
  <si>
    <t>Servicio:</t>
  </si>
  <si>
    <t>Marca:</t>
  </si>
  <si>
    <t>Modelo:</t>
  </si>
  <si>
    <t>Nº Inventario:</t>
  </si>
  <si>
    <t>Nº de Serie:</t>
  </si>
  <si>
    <t>Fecha:</t>
  </si>
  <si>
    <t xml:space="preserve">Lista de chequeo </t>
  </si>
  <si>
    <t>Items:</t>
  </si>
  <si>
    <t>Estado</t>
  </si>
  <si>
    <t>OBSERVACIONES</t>
  </si>
  <si>
    <t>Inspección física</t>
  </si>
  <si>
    <t>Pasa</t>
  </si>
  <si>
    <t>Falla</t>
  </si>
  <si>
    <t>N/A</t>
  </si>
  <si>
    <t>Estado de pantalla</t>
  </si>
  <si>
    <t>Revisión general y accesorios</t>
  </si>
  <si>
    <t>Revisión cables ECG, e interface</t>
  </si>
  <si>
    <t>Revisión sensor SPO2, e interface</t>
  </si>
  <si>
    <t>Revisión de funcionamiento</t>
  </si>
  <si>
    <t>Equipo realiza secuencia de encendido</t>
  </si>
  <si>
    <t>Equipo muestra correctamente curva ECG</t>
  </si>
  <si>
    <t>Equipo muestra correctamente curva SPO2</t>
  </si>
  <si>
    <t>Control de parámetros con simulador  ECG</t>
  </si>
  <si>
    <t>Seguridad eléctrica</t>
  </si>
  <si>
    <t>Valor programado</t>
  </si>
  <si>
    <t xml:space="preserve">Falla </t>
  </si>
  <si>
    <t>Variable</t>
  </si>
  <si>
    <t>Corriente de fuga a tierra ≤ 500uA</t>
  </si>
  <si>
    <t>Resistencia a tierra ≤ 0,5Ω</t>
  </si>
  <si>
    <t>Control de parámetros con simulador  SPO2</t>
  </si>
  <si>
    <t>Control de parámetros PNI</t>
  </si>
  <si>
    <t>Actividades de mantenimiento preventivo</t>
  </si>
  <si>
    <t xml:space="preserve">Estado  final del equipo </t>
  </si>
  <si>
    <t xml:space="preserve">Actividad </t>
  </si>
  <si>
    <t>Realizado</t>
  </si>
  <si>
    <t>SI</t>
  </si>
  <si>
    <t>NO</t>
  </si>
  <si>
    <t>Equipo operativo</t>
  </si>
  <si>
    <t>Nombre y Firma Tecnico Ejecutor</t>
  </si>
  <si>
    <t xml:space="preserve">REPORTE  TECNICO </t>
  </si>
  <si>
    <t>Estado  final del equipo</t>
  </si>
  <si>
    <t xml:space="preserve">  Estado </t>
  </si>
  <si>
    <t>Observaciones</t>
  </si>
  <si>
    <t>Grupo Motor (actividad semestral):</t>
  </si>
  <si>
    <t>Limpieza grupo motor</t>
  </si>
  <si>
    <t>T2 Radiante ± 2%</t>
  </si>
  <si>
    <t>Humedad relativa</t>
  </si>
  <si>
    <t>Nivel de ruido &lt; 65 dB</t>
  </si>
  <si>
    <t>Flujo de aire &lt; 0,25 m/seg</t>
  </si>
  <si>
    <t>Prueba final de funcionamiento</t>
  </si>
  <si>
    <t>Corriente fuga a tierra ≤500uA</t>
  </si>
  <si>
    <t>Nombre y Firma Técnico Ejecutor</t>
  </si>
  <si>
    <t xml:space="preserve">Carpeta </t>
  </si>
  <si>
    <t>TIPO DE MANTENCION:</t>
  </si>
  <si>
    <t>Si no corresponde por tipo de equipo, se debe indicar N/A                                         (no aplica)</t>
  </si>
  <si>
    <t>Equipo:</t>
  </si>
  <si>
    <t>Nº Serie</t>
  </si>
  <si>
    <t>Fecha</t>
  </si>
  <si>
    <t>Lista de chequeo</t>
  </si>
  <si>
    <t>Revisión cables ECG</t>
  </si>
  <si>
    <t>Revisión sensor SPO2 (opcional)</t>
  </si>
  <si>
    <t xml:space="preserve">Todas las alarmas funcionan </t>
  </si>
  <si>
    <t>Pasa    I    Falla</t>
  </si>
  <si>
    <t>I</t>
  </si>
  <si>
    <t>Carpeta</t>
  </si>
  <si>
    <t>Si no corresponde por tipo de equipo, se debe indicar N/A (no aplica)</t>
  </si>
  <si>
    <t>Ubicación</t>
  </si>
  <si>
    <t>Mensual</t>
  </si>
  <si>
    <t>Comprobar el estado de la unidad y sus accesorios (indemnidad)</t>
  </si>
  <si>
    <t>REPORTE TECNICO DE MONITOREO DIARIO</t>
  </si>
  <si>
    <t>Mes/Año:</t>
  </si>
  <si>
    <t>N°Serie</t>
  </si>
  <si>
    <t>N°Inv.</t>
  </si>
  <si>
    <t>N° Inv.</t>
  </si>
  <si>
    <t>Acción</t>
  </si>
  <si>
    <t>Día</t>
  </si>
  <si>
    <t xml:space="preserve">Pasa </t>
  </si>
  <si>
    <t>Si no corresponde por tipo de equipo, se debe indicar N/A  (no aplica)</t>
  </si>
  <si>
    <t>Nº Serie:</t>
  </si>
  <si>
    <t>Calibraciones</t>
  </si>
  <si>
    <t>Parámetros biomédicos: presión, flujo y volumen</t>
  </si>
  <si>
    <t>Verificación FiO2</t>
  </si>
  <si>
    <t>Pruebas de seguridad</t>
  </si>
  <si>
    <t>Pruebas de funcionalidad óptimas</t>
  </si>
  <si>
    <t>Auto chequeo</t>
  </si>
  <si>
    <t>Actividad</t>
  </si>
  <si>
    <t>Verificación cilindros de respaldo</t>
  </si>
  <si>
    <t>Equipo Operativo</t>
  </si>
  <si>
    <t>Equipo Fuera de Servicio</t>
  </si>
  <si>
    <t>Nombre Empresa Convenio/Nombre y Firma Técnico Ejecutor</t>
  </si>
  <si>
    <t>Nombre y Firma VºBº Profesional Servicio Clínico</t>
  </si>
  <si>
    <t>CDT 1° Piso</t>
  </si>
  <si>
    <t>SAMU</t>
  </si>
  <si>
    <t>DESFIBRILADOR DEA</t>
  </si>
  <si>
    <t>LIFE LINE</t>
  </si>
  <si>
    <t>2-112273</t>
  </si>
  <si>
    <t>2-112274</t>
  </si>
  <si>
    <t>2-112275</t>
  </si>
  <si>
    <t>2-112276</t>
  </si>
  <si>
    <t>2-112277</t>
  </si>
  <si>
    <t>2-002371</t>
  </si>
  <si>
    <t>2-112278</t>
  </si>
  <si>
    <t>2-001551</t>
  </si>
  <si>
    <t>EP Hall 1° P</t>
  </si>
  <si>
    <t>Priori. Inf.</t>
  </si>
  <si>
    <t>Priori. Ad.</t>
  </si>
  <si>
    <t>TN entrada</t>
  </si>
  <si>
    <t>TNE-Z</t>
  </si>
  <si>
    <t>Rx Sala Esp.</t>
  </si>
  <si>
    <t>Equipo realiza secuencia de prueba</t>
  </si>
  <si>
    <t>DESDE:</t>
  </si>
  <si>
    <t>HASTA:</t>
  </si>
  <si>
    <t>Limpieza general del equipo</t>
  </si>
  <si>
    <t>Verificación historial de errores</t>
  </si>
  <si>
    <t>Estado final del equipo</t>
  </si>
  <si>
    <t xml:space="preserve">Verificación versión del software </t>
  </si>
  <si>
    <t>MANTENCION MONITORES MULTIPARAMETROS</t>
  </si>
  <si>
    <t>Revisión teclado</t>
  </si>
  <si>
    <t>Estado carcasa</t>
  </si>
  <si>
    <t>Estado manillas y seguros</t>
  </si>
  <si>
    <t>Estado cable alimentación</t>
  </si>
  <si>
    <t>Estado pantalla</t>
  </si>
  <si>
    <t>Revisión alarmas visuales y audibles</t>
  </si>
  <si>
    <t>Estado batería</t>
  </si>
  <si>
    <t>Estado seguridad eléctrica</t>
  </si>
  <si>
    <t xml:space="preserve">Verificar hora y fecha </t>
  </si>
  <si>
    <r>
      <t xml:space="preserve">60 BPM </t>
    </r>
    <r>
      <rPr>
        <sz val="10"/>
        <color indexed="8"/>
        <rFont val="Calibri"/>
        <family val="2"/>
      </rPr>
      <t>± 5%</t>
    </r>
  </si>
  <si>
    <t>120 BPM ± 5%</t>
  </si>
  <si>
    <t>100% 02  ± 5%</t>
  </si>
  <si>
    <t>TIPO MANTENCION:</t>
  </si>
  <si>
    <t>Zócalo CDT</t>
  </si>
  <si>
    <t>MANTENCION DESFIBRILADORES</t>
  </si>
  <si>
    <t>MANTENCION MAQUINAS DE ANESTESIA</t>
  </si>
  <si>
    <t>MANTENIMIENTO PREVENTIVO DESFIBRILADORES DEA</t>
  </si>
  <si>
    <t>Estado teclado</t>
  </si>
  <si>
    <t>Revisión de paletas externas</t>
  </si>
  <si>
    <t>Verificar hora y fecha</t>
  </si>
  <si>
    <t>Corriente de fuga a chasis ≤ 500uA</t>
  </si>
  <si>
    <t>Limpieza  general del equipo</t>
  </si>
  <si>
    <t>Revisión energía de prueba, carga &lt; 15 seg.</t>
  </si>
  <si>
    <t>Revisión energía descarga con simulador</t>
  </si>
  <si>
    <t>MANTENCION OXIMETROS DE PULSO</t>
  </si>
  <si>
    <t>Estado cable de poder, enchufe y aislación</t>
  </si>
  <si>
    <t>MANTENCION INCUBADORAS</t>
  </si>
  <si>
    <t>TIPO MANTENCION REALIZADA:</t>
  </si>
  <si>
    <t xml:space="preserve">Estado interruptor de poder </t>
  </si>
  <si>
    <t>Estado colchoneta</t>
  </si>
  <si>
    <t>Estado bandeja principal</t>
  </si>
  <si>
    <t>Estado estanque de humedad</t>
  </si>
  <si>
    <t>Estado filtro limitador de oxigeno</t>
  </si>
  <si>
    <t>Estado seguro de cúpula</t>
  </si>
  <si>
    <t>Estado porta suero</t>
  </si>
  <si>
    <t>T4 Conducción ± 2%</t>
  </si>
  <si>
    <t>T1-T3 Convección ± 2%</t>
  </si>
  <si>
    <t>Verificar alarmas luminosa y sonora</t>
  </si>
  <si>
    <t>Verificar alarmas  luminosa y sonora</t>
  </si>
  <si>
    <t>Verificar alarmas acustica y luminosa</t>
  </si>
  <si>
    <t>Verificar alarmas acústica y luminosa</t>
  </si>
  <si>
    <t>MANTENCION VENTILADORES MECANICOS</t>
  </si>
  <si>
    <t>Equipo fuera de servicio</t>
  </si>
  <si>
    <t>Equipo muestra correctamente curva SPO2 (opcional)</t>
  </si>
  <si>
    <t>Corriente de fuga a chasis  ≤ 500uA</t>
  </si>
  <si>
    <t>Verificar hermeticidad interna del equipo</t>
  </si>
  <si>
    <t>Estado calefactor</t>
  </si>
  <si>
    <t>Estado pestillo</t>
  </si>
  <si>
    <t>Estado puertas</t>
  </si>
  <si>
    <t>Estado sensor de aire y piel</t>
  </si>
  <si>
    <t>Estado modulo de control</t>
  </si>
  <si>
    <t>Estado pared</t>
  </si>
  <si>
    <t>MANTENCION MAQUINA DE DIALISIS</t>
  </si>
  <si>
    <t xml:space="preserve">Estado Mecánico y Físico </t>
  </si>
  <si>
    <t>Prueba de Seguridad Eléctricas</t>
  </si>
  <si>
    <t>Alarmas Acústica y Luminosa</t>
  </si>
  <si>
    <t>Hermeticidad</t>
  </si>
  <si>
    <t xml:space="preserve">Pruebas hidráulicas </t>
  </si>
  <si>
    <t>Presiones de entrada agua (según periodicidad)</t>
  </si>
  <si>
    <t>Presión de carga (según periodicidad)</t>
  </si>
  <si>
    <t>Presión negativa (según periodicidad)</t>
  </si>
  <si>
    <t>Presión de cámara de balance a 800 ml/m (según periodicidad)</t>
  </si>
  <si>
    <t>Control de flujo de liquido de diálisis (según periodicidad)</t>
  </si>
  <si>
    <t>Presión  del líquido de diálisis (según periodicidad)</t>
  </si>
  <si>
    <t>Sistemas de ultra filtración y Bombas de Membrana</t>
  </si>
  <si>
    <t>bomba 60 carreras 60 ml ± 0,5 ml (según periodicidad)</t>
  </si>
  <si>
    <t>Volumenes medios de cámara de balance (según periodicidad)</t>
  </si>
  <si>
    <t>Comprobar volumen de bomba de concentrado (según periodicidad)</t>
  </si>
  <si>
    <t>Comprobar volumen de bomba de bicarbonato (según periodicidad)</t>
  </si>
  <si>
    <t>Funcionamiento en modo de Diálisis</t>
  </si>
  <si>
    <t>Temperatura  37 ° C   ± 0,5 °C (según periodicidad)</t>
  </si>
  <si>
    <t>Conductividad  según valor de refencia en mS/cm (según periodicidad)</t>
  </si>
  <si>
    <t>Limpieza de filtros aire</t>
  </si>
  <si>
    <t>Limpieza general de la estructura</t>
  </si>
  <si>
    <t>Limpieza interna</t>
  </si>
  <si>
    <t>Cambio de tubos contaminados o deteriorados</t>
  </si>
  <si>
    <t>Revisión de filtro de entrada de agua</t>
  </si>
  <si>
    <t>Estado final del equipo (marcar con X)</t>
  </si>
  <si>
    <t xml:space="preserve"> Pasa  I  Falla</t>
  </si>
  <si>
    <t>Nombre y Firma Jefe Subdepartamento Equipamiento Clínico</t>
  </si>
  <si>
    <t>Revisión Manguito de PNI</t>
  </si>
  <si>
    <t xml:space="preserve">  HOSPITAL DOCTOR HERNAN HENRIQUEZ ARAVENA 
Subdepartamento Equipamiento Clínico
</t>
  </si>
  <si>
    <t>Equipo muestra correctamente valor SPO2</t>
  </si>
  <si>
    <t xml:space="preserve">HOSPITAL DOCTOR HERNAN HENRIQUEZ ARAVENA 
Subdepartamento Equipamiento Clínico
</t>
  </si>
  <si>
    <t>Comprobar que el Indicador de Estado señale que el equipo está operativo</t>
  </si>
  <si>
    <t>Nombre y Firma Jefe Servicio o Unidad que realiza inspección diaria</t>
  </si>
  <si>
    <t xml:space="preserve">HOSPITAL DOCTOR HERNAN HENRIQUEZ ARAVENA 
Subdepartamento Equipamiento Clínico
</t>
  </si>
  <si>
    <t>Nombre y Firma Técnico  de Subdepartamento Equipamiento Clínico</t>
  </si>
  <si>
    <t>Verificación estado de filtro de aire exterior</t>
  </si>
  <si>
    <t xml:space="preserve">Verificación estado de filtro de oxígeno  </t>
  </si>
  <si>
    <t>Verificación estado de filtro de óxido nitroso</t>
  </si>
  <si>
    <t>HOSPITAL DR. HERNAN HENRIQUEZ ARAVENA                                   Subdepartamento Equipamiento Clínico</t>
  </si>
  <si>
    <t>Estado celdas de O2</t>
  </si>
  <si>
    <t>Estado estrutura</t>
  </si>
  <si>
    <t>Estado balanza</t>
  </si>
  <si>
    <t>Verificar estado de ruedas</t>
  </si>
  <si>
    <t>Nombre y Firma Técnico Subdepartamento de Equipamiento Clínico</t>
  </si>
  <si>
    <t>Nombre y Firma Jefe Subdepartamento de Equipamiento Clínico</t>
  </si>
  <si>
    <t xml:space="preserve">HOSPITAL DOCTOR HERNÁN HENRIQUEZ ARAVENA 
Subdepartamento de Equipamiento Clínico
</t>
  </si>
  <si>
    <t>DEFIBTECH</t>
  </si>
  <si>
    <t xml:space="preserve">X21J421750 </t>
  </si>
  <si>
    <t>121010-020241</t>
  </si>
  <si>
    <t>ZOLL</t>
  </si>
  <si>
    <t xml:space="preserve"> </t>
  </si>
  <si>
    <t>AEDPLUS</t>
  </si>
  <si>
    <t>X18E028657</t>
  </si>
  <si>
    <t>X21A332744</t>
  </si>
  <si>
    <t>2-121624</t>
  </si>
  <si>
    <t>S/N</t>
  </si>
  <si>
    <t>AE7-24048210</t>
  </si>
  <si>
    <t>2-124605</t>
  </si>
  <si>
    <t xml:space="preserve">Gestión de pacientes </t>
  </si>
  <si>
    <t>Gestión de pacientes</t>
  </si>
  <si>
    <t>ZOLL ( X21A332744, X18E028657) / MINDRAY (AE7-24048210)</t>
  </si>
  <si>
    <t>AEDPLUS (ZOLL) / BENEHEART C2 (MINDRAY)</t>
  </si>
  <si>
    <t>NIHON KOHDEN</t>
  </si>
  <si>
    <t>AED-3100K</t>
  </si>
  <si>
    <t>121010-019243</t>
  </si>
  <si>
    <t>Estado cable alimentación/fuente de poder externa</t>
  </si>
  <si>
    <t xml:space="preserve">
HOSPITAL DOCTOR HERNAN HENRIQUEZ ARAVENA 
Subdepartamento Equipamiento Clínico
</t>
  </si>
  <si>
    <t xml:space="preserve">                                                                                        HOSPITAL DOCTOR HERNAN HENRIQUEZ ARAVENA 
Subdepartamento Equipamiento Clínico
</t>
  </si>
  <si>
    <t>Nombre y Firma Jefe Subdepartamento
Equipamiento Clínico</t>
  </si>
  <si>
    <t xml:space="preserve">
HOSPITAL DOCTOR HERNAN HENRIQUEZ ARAVENA 
Subdepartamento Equipamiento Clínico
</t>
  </si>
  <si>
    <t>180 BPM ± 5%</t>
  </si>
  <si>
    <r>
      <t xml:space="preserve">60 BPM </t>
    </r>
    <r>
      <rPr>
        <sz val="10"/>
        <color indexed="8"/>
        <rFont val="Calibri"/>
        <family val="2"/>
      </rPr>
      <t>± 3%</t>
    </r>
  </si>
  <si>
    <t>90% 02  ± 2%</t>
  </si>
  <si>
    <t>95% 02  ± 2%</t>
  </si>
  <si>
    <r>
      <t xml:space="preserve">120/80 </t>
    </r>
    <r>
      <rPr>
        <sz val="10"/>
        <color theme="1"/>
        <rFont val="Calibri"/>
        <family val="2"/>
      </rPr>
      <t>±</t>
    </r>
    <r>
      <rPr>
        <sz val="10"/>
        <color theme="1"/>
        <rFont val="Calibri"/>
        <family val="2"/>
        <scheme val="minor"/>
      </rPr>
      <t xml:space="preserve"> 5           | 35/15 </t>
    </r>
    <r>
      <rPr>
        <sz val="10"/>
        <color theme="1"/>
        <rFont val="Calibri"/>
        <family val="2"/>
      </rPr>
      <t>±</t>
    </r>
    <r>
      <rPr>
        <sz val="10"/>
        <color theme="1"/>
        <rFont val="Calibri"/>
        <family val="2"/>
        <scheme val="minor"/>
      </rPr>
      <t xml:space="preserve"> 3 (Neonatal)</t>
    </r>
  </si>
  <si>
    <r>
      <t xml:space="preserve">150/100 </t>
    </r>
    <r>
      <rPr>
        <sz val="10"/>
        <color theme="1"/>
        <rFont val="Calibri"/>
        <family val="2"/>
      </rPr>
      <t>±</t>
    </r>
    <r>
      <rPr>
        <sz val="10"/>
        <color theme="1"/>
        <rFont val="Calibri"/>
        <family val="2"/>
        <scheme val="minor"/>
      </rPr>
      <t xml:space="preserve"> 5         | 70/40 </t>
    </r>
    <r>
      <rPr>
        <sz val="10"/>
        <color theme="1"/>
        <rFont val="Calibri"/>
        <family val="2"/>
      </rPr>
      <t>±</t>
    </r>
    <r>
      <rPr>
        <sz val="10"/>
        <color theme="1"/>
        <rFont val="Calibri"/>
        <family val="2"/>
        <scheme val="minor"/>
      </rPr>
      <t xml:space="preserve"> 3 (Neonatal)</t>
    </r>
  </si>
  <si>
    <r>
      <t xml:space="preserve">200/150 </t>
    </r>
    <r>
      <rPr>
        <sz val="10"/>
        <color theme="1"/>
        <rFont val="Calibri"/>
        <family val="2"/>
      </rPr>
      <t>±</t>
    </r>
    <r>
      <rPr>
        <sz val="10"/>
        <color theme="1"/>
        <rFont val="Calibri"/>
        <family val="2"/>
        <scheme val="minor"/>
      </rPr>
      <t xml:space="preserve"> 5</t>
    </r>
  </si>
  <si>
    <t>90% 02 ± 2%</t>
  </si>
  <si>
    <t>95% 02 ± 2%</t>
  </si>
  <si>
    <t>99% 02 ± 2%</t>
  </si>
  <si>
    <t>Cambio microfiltro de aire</t>
  </si>
  <si>
    <t>Cuerpo:</t>
  </si>
  <si>
    <t>Estado de las ruedas</t>
  </si>
  <si>
    <t>Cúpula:</t>
  </si>
  <si>
    <t>Control de parámetros:</t>
  </si>
  <si>
    <t>Seguridad eléctrica:</t>
  </si>
  <si>
    <t>Lista de chequeo semestral</t>
  </si>
  <si>
    <t>Lista de chequeo trimestral</t>
  </si>
  <si>
    <t>Actividades:</t>
  </si>
  <si>
    <t>121010-024575</t>
  </si>
  <si>
    <t>AED-3100</t>
  </si>
  <si>
    <t>UEPI</t>
  </si>
  <si>
    <t>Monitores</t>
  </si>
  <si>
    <t>Oximetro</t>
  </si>
  <si>
    <t>DEA</t>
  </si>
  <si>
    <t>Desfibriladores</t>
  </si>
  <si>
    <t>DEA-dia DEFIBTECH</t>
  </si>
  <si>
    <t>DEA 1-SAMU</t>
  </si>
  <si>
    <t>DEA 2-SAMU</t>
  </si>
  <si>
    <t xml:space="preserve">DEA-UEPI </t>
  </si>
  <si>
    <t>Ventiladores</t>
  </si>
  <si>
    <t>MAnestesia</t>
  </si>
  <si>
    <t>Incubadoras Semestral</t>
  </si>
  <si>
    <t>Incubadoras Trimestral</t>
  </si>
  <si>
    <t>Diálisis</t>
  </si>
  <si>
    <t>INDICE DE REPORTES</t>
  </si>
  <si>
    <t>2-134460</t>
  </si>
  <si>
    <t xml:space="preserve">CEM </t>
  </si>
  <si>
    <t>2-134461</t>
  </si>
  <si>
    <t>MINDRAY</t>
  </si>
  <si>
    <t>AF1-48110851</t>
  </si>
  <si>
    <t>2-134465</t>
  </si>
  <si>
    <t>Cambio de parches</t>
  </si>
  <si>
    <t>Inspección funcionamiento de carga</t>
  </si>
  <si>
    <t>Cables de poder</t>
  </si>
  <si>
    <t>Funcionalidad de la pantalla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</si>
</sst>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2\-#####"/>
    <numFmt numFmtId="165" formatCode="\2\-00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color indexed="8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6" fillId="0" borderId="0"/>
    <xf numFmtId="0" fontId="19" fillId="0" borderId="0" applyNumberFormat="0" applyFill="0" applyBorder="0" applyAlignment="0" applyProtection="0"/>
  </cellStyleXfs>
  <cellXfs count="651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0" borderId="20" xfId="0" applyFont="1" applyBorder="1"/>
    <xf numFmtId="0" fontId="2" fillId="0" borderId="26" xfId="0" applyFont="1" applyBorder="1"/>
    <xf numFmtId="0" fontId="2" fillId="0" borderId="16" xfId="0" applyFont="1" applyBorder="1"/>
    <xf numFmtId="0" fontId="4" fillId="0" borderId="20" xfId="0" applyFont="1" applyBorder="1"/>
    <xf numFmtId="0" fontId="2" fillId="0" borderId="15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0" borderId="13" xfId="0" applyFont="1" applyBorder="1"/>
    <xf numFmtId="0" fontId="2" fillId="0" borderId="49" xfId="0" applyFont="1" applyBorder="1"/>
    <xf numFmtId="0" fontId="2" fillId="0" borderId="15" xfId="0" applyFont="1" applyBorder="1" applyAlignment="1">
      <alignment vertical="center" wrapText="1"/>
    </xf>
    <xf numFmtId="0" fontId="2" fillId="0" borderId="13" xfId="0" applyFont="1" applyBorder="1" applyAlignment="1">
      <alignment vertical="center" wrapText="1"/>
    </xf>
    <xf numFmtId="0" fontId="2" fillId="0" borderId="33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5" xfId="0" applyFont="1" applyBorder="1" applyAlignment="1">
      <alignment vertical="center" wrapText="1"/>
    </xf>
    <xf numFmtId="0" fontId="2" fillId="0" borderId="25" xfId="0" applyFont="1" applyBorder="1"/>
    <xf numFmtId="0" fontId="2" fillId="0" borderId="33" xfId="0" applyFont="1" applyBorder="1"/>
    <xf numFmtId="0" fontId="9" fillId="0" borderId="0" xfId="0" applyFont="1"/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4" fillId="0" borderId="67" xfId="0" applyFont="1" applyBorder="1" applyAlignment="1">
      <alignment horizontal="right"/>
    </xf>
    <xf numFmtId="0" fontId="4" fillId="0" borderId="75" xfId="0" applyFont="1" applyBorder="1" applyAlignment="1">
      <alignment horizontal="right"/>
    </xf>
    <xf numFmtId="0" fontId="4" fillId="0" borderId="66" xfId="0" applyFont="1" applyBorder="1"/>
    <xf numFmtId="0" fontId="4" fillId="0" borderId="64" xfId="0" applyFont="1" applyBorder="1"/>
    <xf numFmtId="0" fontId="4" fillId="0" borderId="6" xfId="0" applyFont="1" applyBorder="1" applyAlignment="1">
      <alignment horizontal="center"/>
    </xf>
    <xf numFmtId="0" fontId="4" fillId="0" borderId="2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2" fillId="0" borderId="42" xfId="0" applyFont="1" applyBorder="1" applyAlignment="1">
      <alignment vertical="center" wrapText="1"/>
    </xf>
    <xf numFmtId="0" fontId="2" fillId="0" borderId="37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" fillId="0" borderId="38" xfId="0" applyFont="1" applyBorder="1" applyAlignment="1">
      <alignment vertical="center" wrapText="1"/>
    </xf>
    <xf numFmtId="0" fontId="2" fillId="0" borderId="39" xfId="0" applyFont="1" applyBorder="1" applyAlignment="1">
      <alignment vertical="center" wrapText="1"/>
    </xf>
    <xf numFmtId="0" fontId="2" fillId="0" borderId="68" xfId="0" applyFont="1" applyBorder="1" applyAlignment="1">
      <alignment vertical="center" wrapText="1"/>
    </xf>
    <xf numFmtId="0" fontId="10" fillId="0" borderId="13" xfId="0" applyFont="1" applyBorder="1" applyAlignment="1">
      <alignment horizontal="center" vertical="center" wrapText="1"/>
    </xf>
    <xf numFmtId="0" fontId="2" fillId="0" borderId="11" xfId="0" applyFont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2" fillId="0" borderId="16" xfId="0" applyFont="1" applyBorder="1" applyAlignment="1">
      <alignment horizontal="left" vertical="center"/>
    </xf>
    <xf numFmtId="0" fontId="10" fillId="0" borderId="19" xfId="0" applyFont="1" applyBorder="1" applyAlignment="1">
      <alignment horizontal="center" vertical="center" wrapText="1"/>
    </xf>
    <xf numFmtId="0" fontId="2" fillId="0" borderId="47" xfId="0" applyFont="1" applyBorder="1"/>
    <xf numFmtId="0" fontId="2" fillId="0" borderId="65" xfId="0" applyFont="1" applyBorder="1" applyAlignment="1">
      <alignment vertical="center" wrapText="1"/>
    </xf>
    <xf numFmtId="0" fontId="2" fillId="0" borderId="76" xfId="0" applyFont="1" applyBorder="1" applyAlignment="1">
      <alignment vertical="center" wrapText="1"/>
    </xf>
    <xf numFmtId="0" fontId="2" fillId="0" borderId="47" xfId="0" applyFont="1" applyBorder="1" applyAlignment="1">
      <alignment vertical="center" wrapText="1"/>
    </xf>
    <xf numFmtId="0" fontId="2" fillId="0" borderId="18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2" fillId="0" borderId="73" xfId="0" applyFont="1" applyBorder="1" applyAlignment="1">
      <alignment vertical="center" wrapText="1"/>
    </xf>
    <xf numFmtId="164" fontId="2" fillId="0" borderId="0" xfId="0" applyNumberFormat="1" applyFont="1"/>
    <xf numFmtId="0" fontId="2" fillId="0" borderId="8" xfId="0" applyFont="1" applyBorder="1"/>
    <xf numFmtId="0" fontId="2" fillId="0" borderId="7" xfId="0" applyFont="1" applyBorder="1"/>
    <xf numFmtId="0" fontId="2" fillId="0" borderId="6" xfId="0" applyFont="1" applyBorder="1" applyAlignment="1">
      <alignment horizontal="center"/>
    </xf>
    <xf numFmtId="0" fontId="4" fillId="0" borderId="15" xfId="0" applyFont="1" applyBorder="1"/>
    <xf numFmtId="0" fontId="4" fillId="0" borderId="26" xfId="0" applyFont="1" applyBorder="1"/>
    <xf numFmtId="0" fontId="4" fillId="0" borderId="33" xfId="0" applyFont="1" applyBorder="1"/>
    <xf numFmtId="0" fontId="8" fillId="0" borderId="16" xfId="0" applyFont="1" applyBorder="1" applyAlignment="1">
      <alignment horizontal="right"/>
    </xf>
    <xf numFmtId="0" fontId="8" fillId="0" borderId="20" xfId="0" applyFont="1" applyBorder="1" applyAlignment="1">
      <alignment horizontal="right"/>
    </xf>
    <xf numFmtId="0" fontId="8" fillId="0" borderId="25" xfId="0" applyFont="1" applyBorder="1" applyAlignment="1">
      <alignment horizontal="right"/>
    </xf>
    <xf numFmtId="0" fontId="8" fillId="0" borderId="26" xfId="0" applyFont="1" applyBorder="1" applyAlignment="1">
      <alignment horizontal="right"/>
    </xf>
    <xf numFmtId="0" fontId="4" fillId="0" borderId="48" xfId="0" applyFont="1" applyBorder="1"/>
    <xf numFmtId="0" fontId="2" fillId="0" borderId="48" xfId="0" applyFont="1" applyBorder="1"/>
    <xf numFmtId="0" fontId="2" fillId="0" borderId="60" xfId="0" applyFont="1" applyBorder="1"/>
    <xf numFmtId="0" fontId="4" fillId="0" borderId="30" xfId="0" applyFont="1" applyBorder="1"/>
    <xf numFmtId="0" fontId="2" fillId="0" borderId="3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17" fillId="0" borderId="0" xfId="0" applyFont="1"/>
    <xf numFmtId="0" fontId="0" fillId="0" borderId="7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 wrapText="1"/>
    </xf>
    <xf numFmtId="0" fontId="2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53" xfId="0" applyFont="1" applyBorder="1"/>
    <xf numFmtId="0" fontId="2" fillId="2" borderId="51" xfId="0" applyFont="1" applyFill="1" applyBorder="1"/>
    <xf numFmtId="0" fontId="2" fillId="2" borderId="2" xfId="0" applyFont="1" applyFill="1" applyBorder="1"/>
    <xf numFmtId="0" fontId="2" fillId="0" borderId="4" xfId="0" applyFont="1" applyBorder="1"/>
    <xf numFmtId="0" fontId="3" fillId="0" borderId="15" xfId="0" applyFont="1" applyBorder="1" applyAlignment="1" applyProtection="1">
      <alignment horizontal="center"/>
      <protection locked="0"/>
    </xf>
    <xf numFmtId="0" fontId="10" fillId="0" borderId="15" xfId="0" applyFont="1" applyBorder="1" applyAlignment="1" applyProtection="1">
      <alignment horizontal="center"/>
      <protection locked="0"/>
    </xf>
    <xf numFmtId="0" fontId="10" fillId="0" borderId="32" xfId="0" applyFont="1" applyBorder="1" applyAlignment="1" applyProtection="1">
      <alignment horizont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0" fontId="4" fillId="0" borderId="16" xfId="0" applyFont="1" applyBorder="1" applyAlignment="1">
      <alignment horizontal="right"/>
    </xf>
    <xf numFmtId="0" fontId="4" fillId="0" borderId="25" xfId="0" applyFont="1" applyBorder="1" applyAlignment="1">
      <alignment horizontal="right"/>
    </xf>
    <xf numFmtId="0" fontId="4" fillId="0" borderId="26" xfId="0" applyFont="1" applyBorder="1" applyAlignment="1">
      <alignment horizontal="right"/>
    </xf>
    <xf numFmtId="0" fontId="4" fillId="0" borderId="20" xfId="0" applyFont="1" applyBorder="1" applyAlignment="1">
      <alignment horizontal="right" wrapText="1"/>
    </xf>
    <xf numFmtId="0" fontId="4" fillId="0" borderId="47" xfId="0" applyFont="1" applyBorder="1" applyAlignment="1">
      <alignment horizontal="right"/>
    </xf>
    <xf numFmtId="0" fontId="2" fillId="0" borderId="22" xfId="0" applyFont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3" borderId="36" xfId="0" applyFont="1" applyFill="1" applyBorder="1"/>
    <xf numFmtId="0" fontId="2" fillId="3" borderId="26" xfId="0" applyFont="1" applyFill="1" applyBorder="1"/>
    <xf numFmtId="0" fontId="2" fillId="3" borderId="0" xfId="0" applyFont="1" applyFill="1"/>
    <xf numFmtId="0" fontId="2" fillId="0" borderId="48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3" fillId="0" borderId="4" xfId="0" applyFont="1" applyBorder="1" applyAlignment="1">
      <alignment horizontal="center" wrapText="1"/>
    </xf>
    <xf numFmtId="0" fontId="2" fillId="0" borderId="26" xfId="0" applyFont="1" applyBorder="1" applyAlignment="1">
      <alignment horizontal="center"/>
    </xf>
    <xf numFmtId="0" fontId="2" fillId="0" borderId="2" xfId="0" applyFont="1" applyBorder="1"/>
    <xf numFmtId="0" fontId="2" fillId="0" borderId="0" xfId="0" applyFont="1" applyAlignment="1">
      <alignment horizontal="center"/>
    </xf>
    <xf numFmtId="0" fontId="2" fillId="3" borderId="26" xfId="0" applyFont="1" applyFill="1" applyBorder="1" applyAlignment="1">
      <alignment horizontal="center"/>
    </xf>
    <xf numFmtId="0" fontId="2" fillId="0" borderId="5" xfId="0" applyFont="1" applyBorder="1"/>
    <xf numFmtId="0" fontId="4" fillId="0" borderId="30" xfId="0" applyFont="1" applyBorder="1" applyAlignment="1">
      <alignment horizontal="right"/>
    </xf>
    <xf numFmtId="0" fontId="4" fillId="0" borderId="15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2" fillId="0" borderId="19" xfId="0" applyFont="1" applyBorder="1"/>
    <xf numFmtId="0" fontId="2" fillId="0" borderId="24" xfId="0" applyFont="1" applyBorder="1"/>
    <xf numFmtId="0" fontId="2" fillId="0" borderId="14" xfId="0" applyFont="1" applyBorder="1"/>
    <xf numFmtId="0" fontId="2" fillId="0" borderId="17" xfId="0" applyFont="1" applyBorder="1"/>
    <xf numFmtId="0" fontId="2" fillId="0" borderId="27" xfId="0" applyFont="1" applyBorder="1"/>
    <xf numFmtId="0" fontId="2" fillId="0" borderId="60" xfId="0" applyFont="1" applyBorder="1" applyAlignment="1">
      <alignment horizontal="center"/>
    </xf>
    <xf numFmtId="0" fontId="2" fillId="4" borderId="24" xfId="0" applyFont="1" applyFill="1" applyBorder="1"/>
    <xf numFmtId="0" fontId="2" fillId="4" borderId="60" xfId="0" applyFont="1" applyFill="1" applyBorder="1"/>
    <xf numFmtId="0" fontId="2" fillId="4" borderId="22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4" fillId="0" borderId="16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4" fillId="0" borderId="25" xfId="0" applyFont="1" applyBorder="1" applyAlignment="1">
      <alignment horizontal="right" vertical="center"/>
    </xf>
    <xf numFmtId="0" fontId="2" fillId="0" borderId="19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0" borderId="48" xfId="0" applyFont="1" applyBorder="1" applyAlignment="1">
      <alignment horizontal="center" vertical="center"/>
    </xf>
    <xf numFmtId="0" fontId="2" fillId="3" borderId="76" xfId="0" applyFont="1" applyFill="1" applyBorder="1" applyAlignment="1">
      <alignment horizontal="left"/>
    </xf>
    <xf numFmtId="0" fontId="2" fillId="3" borderId="18" xfId="0" applyFont="1" applyFill="1" applyBorder="1" applyAlignment="1">
      <alignment horizontal="left"/>
    </xf>
    <xf numFmtId="0" fontId="2" fillId="3" borderId="19" xfId="0" applyFont="1" applyFill="1" applyBorder="1" applyAlignment="1">
      <alignment horizontal="left"/>
    </xf>
    <xf numFmtId="0" fontId="2" fillId="0" borderId="19" xfId="0" applyFont="1" applyBorder="1" applyAlignment="1">
      <alignment horizontal="center"/>
    </xf>
    <xf numFmtId="0" fontId="2" fillId="4" borderId="39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/>
    <xf numFmtId="0" fontId="2" fillId="4" borderId="14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7" fillId="0" borderId="11" xfId="0" applyFont="1" applyBorder="1"/>
    <xf numFmtId="0" fontId="0" fillId="4" borderId="60" xfId="0" applyFill="1" applyBorder="1" applyAlignment="1">
      <alignment horizontal="center" vertical="center" wrapText="1"/>
    </xf>
    <xf numFmtId="0" fontId="0" fillId="4" borderId="61" xfId="0" applyFill="1" applyBorder="1" applyAlignment="1">
      <alignment horizontal="center" vertical="center" wrapText="1"/>
    </xf>
    <xf numFmtId="0" fontId="2" fillId="0" borderId="34" xfId="0" applyFont="1" applyBorder="1"/>
    <xf numFmtId="0" fontId="0" fillId="3" borderId="26" xfId="0" applyFill="1" applyBorder="1" applyAlignment="1">
      <alignment vertical="center" wrapText="1"/>
    </xf>
    <xf numFmtId="0" fontId="0" fillId="3" borderId="33" xfId="0" applyFill="1" applyBorder="1" applyAlignment="1">
      <alignment vertical="center" wrapText="1"/>
    </xf>
    <xf numFmtId="0" fontId="2" fillId="4" borderId="24" xfId="0" applyFont="1" applyFill="1" applyBorder="1" applyAlignment="1">
      <alignment horizontal="center"/>
    </xf>
    <xf numFmtId="0" fontId="2" fillId="4" borderId="60" xfId="0" applyFont="1" applyFill="1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0" borderId="20" xfId="0" applyFont="1" applyBorder="1" applyAlignment="1">
      <alignment vertical="center"/>
    </xf>
    <xf numFmtId="0" fontId="10" fillId="0" borderId="15" xfId="0" applyFont="1" applyBorder="1" applyAlignment="1" applyProtection="1">
      <alignment horizontal="center" vertical="center"/>
      <protection locked="0"/>
    </xf>
    <xf numFmtId="0" fontId="4" fillId="0" borderId="47" xfId="0" applyFont="1" applyBorder="1" applyAlignment="1">
      <alignment horizontal="right" vertical="center"/>
    </xf>
    <xf numFmtId="0" fontId="3" fillId="0" borderId="15" xfId="0" applyFont="1" applyBorder="1" applyAlignment="1" applyProtection="1">
      <alignment horizontal="center" vertical="center"/>
      <protection locked="0"/>
    </xf>
    <xf numFmtId="0" fontId="4" fillId="0" borderId="26" xfId="0" applyFont="1" applyBorder="1" applyAlignment="1">
      <alignment horizontal="right" vertical="center"/>
    </xf>
    <xf numFmtId="0" fontId="8" fillId="0" borderId="16" xfId="0" applyFont="1" applyBorder="1" applyAlignment="1">
      <alignment horizontal="right" vertical="center"/>
    </xf>
    <xf numFmtId="0" fontId="8" fillId="0" borderId="20" xfId="0" applyFont="1" applyBorder="1" applyAlignment="1">
      <alignment horizontal="right" vertical="center"/>
    </xf>
    <xf numFmtId="0" fontId="8" fillId="0" borderId="25" xfId="0" applyFont="1" applyBorder="1" applyAlignment="1">
      <alignment horizontal="right" vertical="center"/>
    </xf>
    <xf numFmtId="0" fontId="8" fillId="0" borderId="26" xfId="0" applyFont="1" applyBorder="1" applyAlignment="1">
      <alignment horizontal="right" vertical="center"/>
    </xf>
    <xf numFmtId="0" fontId="2" fillId="0" borderId="0" xfId="0" applyFont="1" applyAlignment="1">
      <alignment horizontal="left"/>
    </xf>
    <xf numFmtId="0" fontId="2" fillId="0" borderId="52" xfId="0" applyFont="1" applyBorder="1" applyAlignment="1">
      <alignment horizontal="left"/>
    </xf>
    <xf numFmtId="0" fontId="4" fillId="0" borderId="0" xfId="0" applyFont="1" applyAlignment="1">
      <alignment vertical="center"/>
    </xf>
    <xf numFmtId="0" fontId="4" fillId="0" borderId="50" xfId="0" applyFont="1" applyBorder="1" applyAlignment="1">
      <alignment vertical="center"/>
    </xf>
    <xf numFmtId="0" fontId="19" fillId="0" borderId="49" xfId="2" applyBorder="1" applyAlignment="1">
      <alignment horizontal="left"/>
    </xf>
    <xf numFmtId="0" fontId="19" fillId="0" borderId="0" xfId="2" applyBorder="1" applyAlignment="1">
      <alignment horizontal="left"/>
    </xf>
    <xf numFmtId="0" fontId="2" fillId="0" borderId="0" xfId="0" applyFont="1" applyAlignment="1">
      <alignment horizontal="left" vertical="center"/>
    </xf>
    <xf numFmtId="0" fontId="2" fillId="0" borderId="50" xfId="0" applyFont="1" applyBorder="1" applyAlignment="1">
      <alignment horizontal="left" vertical="center"/>
    </xf>
    <xf numFmtId="0" fontId="19" fillId="0" borderId="51" xfId="2" applyBorder="1" applyAlignment="1">
      <alignment horizontal="left"/>
    </xf>
    <xf numFmtId="0" fontId="19" fillId="0" borderId="52" xfId="2" applyBorder="1" applyAlignment="1">
      <alignment horizontal="left"/>
    </xf>
    <xf numFmtId="0" fontId="2" fillId="0" borderId="52" xfId="0" applyFont="1" applyBorder="1" applyAlignment="1">
      <alignment horizontal="left" vertical="center"/>
    </xf>
    <xf numFmtId="0" fontId="2" fillId="0" borderId="53" xfId="0" applyFont="1" applyBorder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50" xfId="0" applyFont="1" applyBorder="1" applyAlignment="1">
      <alignment horizontal="left"/>
    </xf>
    <xf numFmtId="0" fontId="1" fillId="0" borderId="63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49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50" xfId="0" applyFont="1" applyBorder="1" applyAlignment="1">
      <alignment horizontal="center" wrapText="1"/>
    </xf>
    <xf numFmtId="0" fontId="2" fillId="0" borderId="51" xfId="0" applyFont="1" applyBorder="1" applyAlignment="1">
      <alignment horizontal="center" wrapText="1"/>
    </xf>
    <xf numFmtId="0" fontId="2" fillId="0" borderId="52" xfId="0" applyFont="1" applyBorder="1" applyAlignment="1">
      <alignment horizontal="center" wrapText="1"/>
    </xf>
    <xf numFmtId="0" fontId="2" fillId="0" borderId="53" xfId="0" applyFont="1" applyBorder="1" applyAlignment="1">
      <alignment horizontal="center" wrapText="1"/>
    </xf>
    <xf numFmtId="0" fontId="2" fillId="0" borderId="16" xfId="0" applyFont="1" applyBorder="1" applyAlignment="1">
      <alignment horizontal="left"/>
    </xf>
    <xf numFmtId="0" fontId="2" fillId="0" borderId="20" xfId="0" applyFont="1" applyBorder="1" applyAlignment="1">
      <alignment horizontal="left"/>
    </xf>
    <xf numFmtId="0" fontId="2" fillId="0" borderId="47" xfId="0" applyFont="1" applyBorder="1" applyAlignment="1">
      <alignment horizontal="left"/>
    </xf>
    <xf numFmtId="0" fontId="2" fillId="0" borderId="48" xfId="0" applyFont="1" applyBorder="1" applyAlignment="1">
      <alignment horizontal="left"/>
    </xf>
    <xf numFmtId="0" fontId="2" fillId="0" borderId="48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12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0" borderId="35" xfId="0" applyFont="1" applyBorder="1" applyAlignment="1">
      <alignment horizontal="left"/>
    </xf>
    <xf numFmtId="0" fontId="2" fillId="0" borderId="36" xfId="0" applyFont="1" applyBorder="1" applyAlignment="1">
      <alignment horizontal="left"/>
    </xf>
    <xf numFmtId="0" fontId="1" fillId="0" borderId="43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4" fillId="0" borderId="46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0" fontId="2" fillId="0" borderId="38" xfId="0" applyFont="1" applyBorder="1" applyAlignment="1">
      <alignment horizontal="left"/>
    </xf>
    <xf numFmtId="0" fontId="2" fillId="0" borderId="39" xfId="0" applyFont="1" applyBorder="1" applyAlignment="1">
      <alignment horizontal="left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4" fillId="0" borderId="42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2" fillId="0" borderId="26" xfId="0" applyFont="1" applyBorder="1" applyAlignment="1">
      <alignment horizontal="left"/>
    </xf>
    <xf numFmtId="0" fontId="4" fillId="0" borderId="4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7" fillId="0" borderId="16" xfId="0" applyFont="1" applyBorder="1" applyAlignment="1">
      <alignment horizontal="left"/>
    </xf>
    <xf numFmtId="0" fontId="7" fillId="0" borderId="20" xfId="0" applyFont="1" applyBorder="1" applyAlignment="1">
      <alignment horizontal="left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" fontId="2" fillId="0" borderId="26" xfId="0" applyNumberFormat="1" applyFont="1" applyBorder="1" applyAlignment="1">
      <alignment horizontal="left" vertical="center"/>
    </xf>
    <xf numFmtId="0" fontId="4" fillId="0" borderId="26" xfId="0" applyFont="1" applyBorder="1" applyAlignment="1">
      <alignment horizontal="right" vertical="center"/>
    </xf>
    <xf numFmtId="0" fontId="2" fillId="0" borderId="27" xfId="0" applyFont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0" fontId="2" fillId="0" borderId="20" xfId="0" applyFont="1" applyBorder="1" applyAlignment="1">
      <alignment horizontal="left" vertical="center"/>
    </xf>
    <xf numFmtId="0" fontId="4" fillId="0" borderId="20" xfId="0" applyFont="1" applyBorder="1" applyAlignment="1">
      <alignment horizontal="right" vertical="center"/>
    </xf>
    <xf numFmtId="165" fontId="2" fillId="0" borderId="14" xfId="0" applyNumberFormat="1" applyFont="1" applyBorder="1" applyAlignment="1">
      <alignment horizontal="left" vertical="center" wrapText="1"/>
    </xf>
    <xf numFmtId="165" fontId="2" fillId="0" borderId="21" xfId="0" applyNumberFormat="1" applyFont="1" applyBorder="1" applyAlignment="1">
      <alignment horizontal="left" vertical="center" wrapText="1"/>
    </xf>
    <xf numFmtId="0" fontId="4" fillId="0" borderId="16" xfId="0" applyFont="1" applyBorder="1" applyAlignment="1">
      <alignment horizontal="right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0" xfId="0" applyFont="1" applyBorder="1" applyAlignment="1">
      <alignment horizontal="right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right" vertical="center" wrapText="1"/>
    </xf>
    <xf numFmtId="0" fontId="4" fillId="0" borderId="13" xfId="0" applyFont="1" applyBorder="1" applyAlignment="1">
      <alignment horizontal="right" vertical="center" wrapText="1"/>
    </xf>
    <xf numFmtId="0" fontId="2" fillId="0" borderId="64" xfId="0" applyFont="1" applyBorder="1" applyAlignment="1">
      <alignment horizontal="center" wrapText="1"/>
    </xf>
    <xf numFmtId="0" fontId="2" fillId="0" borderId="58" xfId="0" applyFont="1" applyBorder="1" applyAlignment="1">
      <alignment horizontal="center" wrapText="1"/>
    </xf>
    <xf numFmtId="0" fontId="2" fillId="0" borderId="62" xfId="0" applyFont="1" applyBorder="1" applyAlignment="1">
      <alignment horizontal="center" wrapText="1"/>
    </xf>
    <xf numFmtId="0" fontId="2" fillId="0" borderId="63" xfId="0" applyFont="1" applyBorder="1" applyAlignment="1">
      <alignment horizontal="center" wrapText="1"/>
    </xf>
    <xf numFmtId="0" fontId="2" fillId="0" borderId="57" xfId="0" applyFont="1" applyBorder="1" applyAlignment="1">
      <alignment horizontal="center" wrapText="1"/>
    </xf>
    <xf numFmtId="0" fontId="2" fillId="0" borderId="46" xfId="0" applyFont="1" applyBorder="1" applyAlignment="1">
      <alignment horizontal="center" wrapText="1"/>
    </xf>
    <xf numFmtId="0" fontId="2" fillId="0" borderId="25" xfId="0" applyFont="1" applyBorder="1" applyAlignment="1">
      <alignment horizontal="left"/>
    </xf>
    <xf numFmtId="0" fontId="1" fillId="3" borderId="40" xfId="0" applyFont="1" applyFill="1" applyBorder="1" applyAlignment="1">
      <alignment horizontal="center"/>
    </xf>
    <xf numFmtId="0" fontId="4" fillId="3" borderId="41" xfId="0" applyFont="1" applyFill="1" applyBorder="1" applyAlignment="1">
      <alignment horizontal="center"/>
    </xf>
    <xf numFmtId="0" fontId="4" fillId="3" borderId="42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4" fillId="0" borderId="57" xfId="0" applyFont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3" borderId="25" xfId="0" applyFont="1" applyFill="1" applyBorder="1" applyAlignment="1">
      <alignment horizontal="left"/>
    </xf>
    <xf numFmtId="0" fontId="2" fillId="3" borderId="26" xfId="0" applyFont="1" applyFill="1" applyBorder="1" applyAlignment="1">
      <alignment horizontal="left"/>
    </xf>
    <xf numFmtId="0" fontId="2" fillId="3" borderId="26" xfId="0" applyFont="1" applyFill="1" applyBorder="1" applyAlignment="1">
      <alignment horizontal="center"/>
    </xf>
    <xf numFmtId="0" fontId="2" fillId="3" borderId="27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4" fillId="0" borderId="54" xfId="0" applyFont="1" applyBorder="1" applyAlignment="1">
      <alignment horizontal="center"/>
    </xf>
    <xf numFmtId="0" fontId="2" fillId="0" borderId="7" xfId="0" applyFont="1" applyBorder="1" applyAlignment="1">
      <alignment horizontal="left"/>
    </xf>
    <xf numFmtId="0" fontId="4" fillId="0" borderId="26" xfId="0" applyFont="1" applyBorder="1" applyAlignment="1">
      <alignment horizontal="right"/>
    </xf>
    <xf numFmtId="0" fontId="2" fillId="0" borderId="27" xfId="0" applyFont="1" applyBorder="1" applyAlignment="1" applyProtection="1">
      <alignment horizontal="left"/>
      <protection locked="0"/>
    </xf>
    <xf numFmtId="0" fontId="2" fillId="0" borderId="28" xfId="0" applyFont="1" applyBorder="1" applyAlignment="1" applyProtection="1">
      <alignment horizontal="left"/>
      <protection locked="0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right"/>
    </xf>
    <xf numFmtId="0" fontId="4" fillId="0" borderId="13" xfId="0" applyFont="1" applyBorder="1" applyAlignment="1">
      <alignment horizontal="right"/>
    </xf>
    <xf numFmtId="0" fontId="4" fillId="0" borderId="20" xfId="0" applyFont="1" applyBorder="1" applyAlignment="1">
      <alignment horizontal="right"/>
    </xf>
    <xf numFmtId="165" fontId="2" fillId="0" borderId="14" xfId="0" applyNumberFormat="1" applyFont="1" applyBorder="1" applyAlignment="1">
      <alignment horizontal="left" wrapText="1"/>
    </xf>
    <xf numFmtId="165" fontId="2" fillId="0" borderId="21" xfId="0" applyNumberFormat="1" applyFont="1" applyBorder="1" applyAlignment="1">
      <alignment horizontal="left" wrapText="1"/>
    </xf>
    <xf numFmtId="0" fontId="2" fillId="0" borderId="12" xfId="0" applyFont="1" applyBorder="1" applyAlignment="1">
      <alignment horizontal="center" wrapText="1"/>
    </xf>
    <xf numFmtId="0" fontId="2" fillId="0" borderId="13" xfId="0" applyFont="1" applyBorder="1" applyAlignment="1">
      <alignment horizontal="center" wrapText="1"/>
    </xf>
    <xf numFmtId="0" fontId="2" fillId="0" borderId="14" xfId="0" applyFont="1" applyBorder="1" applyAlignment="1">
      <alignment horizontal="left" wrapText="1"/>
    </xf>
    <xf numFmtId="0" fontId="2" fillId="0" borderId="21" xfId="0" applyFont="1" applyBorder="1" applyAlignment="1">
      <alignment horizontal="left" wrapText="1"/>
    </xf>
    <xf numFmtId="0" fontId="4" fillId="0" borderId="20" xfId="0" applyFont="1" applyBorder="1" applyAlignment="1">
      <alignment horizontal="center" wrapText="1"/>
    </xf>
    <xf numFmtId="0" fontId="2" fillId="0" borderId="20" xfId="0" applyFont="1" applyBorder="1" applyAlignment="1">
      <alignment horizontal="left" wrapText="1"/>
    </xf>
    <xf numFmtId="0" fontId="2" fillId="0" borderId="15" xfId="0" applyFont="1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 wrapText="1"/>
    </xf>
    <xf numFmtId="0" fontId="2" fillId="0" borderId="34" xfId="0" applyFont="1" applyBorder="1" applyAlignment="1">
      <alignment horizontal="left" vertical="center" wrapText="1"/>
    </xf>
    <xf numFmtId="0" fontId="2" fillId="0" borderId="35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14" fontId="4" fillId="0" borderId="27" xfId="0" applyNumberFormat="1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29" xfId="0" applyFont="1" applyBorder="1" applyAlignment="1">
      <alignment horizontal="left"/>
    </xf>
    <xf numFmtId="0" fontId="4" fillId="0" borderId="30" xfId="0" applyFont="1" applyBorder="1" applyAlignment="1">
      <alignment horizontal="left"/>
    </xf>
    <xf numFmtId="0" fontId="2" fillId="0" borderId="30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7" xfId="0" applyFont="1" applyBorder="1" applyAlignment="1">
      <alignment horizontal="left" vertical="center" wrapText="1"/>
    </xf>
    <xf numFmtId="0" fontId="2" fillId="0" borderId="38" xfId="0" applyFont="1" applyBorder="1" applyAlignment="1">
      <alignment horizontal="left" vertical="center" wrapText="1"/>
    </xf>
    <xf numFmtId="0" fontId="2" fillId="0" borderId="39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3" fillId="0" borderId="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72" xfId="0" applyFont="1" applyBorder="1" applyAlignment="1">
      <alignment horizontal="center"/>
    </xf>
    <xf numFmtId="0" fontId="4" fillId="0" borderId="59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5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0" borderId="50" xfId="0" applyFont="1" applyBorder="1" applyAlignment="1">
      <alignment horizontal="center" wrapText="1"/>
    </xf>
    <xf numFmtId="0" fontId="4" fillId="0" borderId="22" xfId="0" applyFont="1" applyBorder="1" applyAlignment="1">
      <alignment horizontal="center" wrapText="1"/>
    </xf>
    <xf numFmtId="0" fontId="4" fillId="0" borderId="23" xfId="0" applyFont="1" applyBorder="1" applyAlignment="1">
      <alignment horizontal="center" wrapText="1"/>
    </xf>
    <xf numFmtId="0" fontId="4" fillId="0" borderId="74" xfId="0" applyFont="1" applyBorder="1" applyAlignment="1">
      <alignment horizontal="center" wrapText="1"/>
    </xf>
    <xf numFmtId="0" fontId="2" fillId="0" borderId="19" xfId="0" applyFont="1" applyBorder="1" applyAlignment="1">
      <alignment horizontal="left"/>
    </xf>
    <xf numFmtId="0" fontId="2" fillId="0" borderId="17" xfId="0" applyFont="1" applyBorder="1" applyAlignment="1">
      <alignment horizontal="center"/>
    </xf>
    <xf numFmtId="0" fontId="2" fillId="0" borderId="76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/>
    </xf>
    <xf numFmtId="0" fontId="2" fillId="0" borderId="65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72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9" xfId="0" applyFont="1" applyBorder="1" applyAlignment="1">
      <alignment horizontal="center" vertical="center"/>
    </xf>
    <xf numFmtId="0" fontId="4" fillId="3" borderId="37" xfId="0" applyFont="1" applyFill="1" applyBorder="1" applyAlignment="1">
      <alignment horizontal="left"/>
    </xf>
    <xf numFmtId="0" fontId="4" fillId="3" borderId="38" xfId="0" applyFont="1" applyFill="1" applyBorder="1" applyAlignment="1">
      <alignment horizontal="left"/>
    </xf>
    <xf numFmtId="0" fontId="4" fillId="3" borderId="39" xfId="0" applyFont="1" applyFill="1" applyBorder="1" applyAlignment="1">
      <alignment horizontal="left"/>
    </xf>
    <xf numFmtId="0" fontId="2" fillId="0" borderId="11" xfId="0" applyFont="1" applyBorder="1" applyAlignment="1">
      <alignment horizontal="left" vertical="center"/>
    </xf>
    <xf numFmtId="0" fontId="2" fillId="0" borderId="16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7" xfId="0" applyFont="1" applyBorder="1" applyAlignment="1">
      <alignment horizontal="left"/>
    </xf>
    <xf numFmtId="0" fontId="4" fillId="0" borderId="39" xfId="0" applyFont="1" applyBorder="1" applyAlignment="1">
      <alignment horizontal="left"/>
    </xf>
    <xf numFmtId="0" fontId="4" fillId="0" borderId="16" xfId="0" applyFont="1" applyBorder="1" applyAlignment="1">
      <alignment horizontal="left"/>
    </xf>
    <xf numFmtId="0" fontId="4" fillId="0" borderId="13" xfId="0" applyFont="1" applyBorder="1" applyAlignment="1">
      <alignment horizontal="left"/>
    </xf>
    <xf numFmtId="0" fontId="4" fillId="0" borderId="20" xfId="0" applyFont="1" applyBorder="1" applyAlignment="1">
      <alignment horizontal="left"/>
    </xf>
    <xf numFmtId="14" fontId="2" fillId="0" borderId="27" xfId="0" applyNumberFormat="1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21" xfId="0" applyFont="1" applyBorder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60" xfId="0" applyFont="1" applyBorder="1" applyAlignment="1">
      <alignment horizontal="center"/>
    </xf>
    <xf numFmtId="0" fontId="4" fillId="0" borderId="61" xfId="0" applyFont="1" applyBorder="1" applyAlignment="1">
      <alignment horizontal="center"/>
    </xf>
    <xf numFmtId="0" fontId="4" fillId="0" borderId="17" xfId="0" applyFont="1" applyBorder="1" applyAlignment="1">
      <alignment horizontal="center" wrapText="1"/>
    </xf>
    <xf numFmtId="0" fontId="4" fillId="0" borderId="18" xfId="0" applyFont="1" applyBorder="1" applyAlignment="1">
      <alignment horizontal="center" wrapText="1"/>
    </xf>
    <xf numFmtId="0" fontId="4" fillId="0" borderId="73" xfId="0" applyFont="1" applyBorder="1" applyAlignment="1">
      <alignment horizontal="center" wrapText="1"/>
    </xf>
    <xf numFmtId="0" fontId="3" fillId="0" borderId="71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73" xfId="0" applyFont="1" applyBorder="1" applyAlignment="1">
      <alignment horizontal="center"/>
    </xf>
    <xf numFmtId="0" fontId="4" fillId="0" borderId="51" xfId="0" applyFont="1" applyBorder="1" applyAlignment="1">
      <alignment horizontal="right"/>
    </xf>
    <xf numFmtId="0" fontId="4" fillId="0" borderId="53" xfId="0" applyFont="1" applyBorder="1" applyAlignment="1">
      <alignment horizontal="right"/>
    </xf>
    <xf numFmtId="0" fontId="4" fillId="0" borderId="0" xfId="0" applyFont="1" applyAlignment="1">
      <alignment horizontal="center"/>
    </xf>
    <xf numFmtId="0" fontId="4" fillId="0" borderId="50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37" xfId="0" applyFont="1" applyBorder="1" applyAlignment="1">
      <alignment horizontal="right"/>
    </xf>
    <xf numFmtId="0" fontId="4" fillId="0" borderId="68" xfId="0" applyFont="1" applyBorder="1" applyAlignment="1">
      <alignment horizontal="right"/>
    </xf>
    <xf numFmtId="0" fontId="2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vertical="top" wrapText="1"/>
    </xf>
    <xf numFmtId="0" fontId="10" fillId="0" borderId="3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0" fillId="0" borderId="3" xfId="0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0" fontId="4" fillId="0" borderId="38" xfId="0" applyFont="1" applyBorder="1" applyAlignment="1">
      <alignment horizontal="center" wrapText="1"/>
    </xf>
    <xf numFmtId="0" fontId="4" fillId="0" borderId="68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64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62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wrapText="1"/>
    </xf>
    <xf numFmtId="0" fontId="2" fillId="0" borderId="33" xfId="0" applyFont="1" applyBorder="1" applyAlignment="1">
      <alignment horizontal="center" wrapText="1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58" xfId="0" applyFont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1" xfId="0" applyFont="1" applyBorder="1" applyAlignment="1">
      <alignment horizontal="center" wrapText="1"/>
    </xf>
    <xf numFmtId="0" fontId="2" fillId="0" borderId="70" xfId="0" applyFont="1" applyBorder="1" applyAlignment="1">
      <alignment horizontal="center" wrapText="1"/>
    </xf>
    <xf numFmtId="0" fontId="2" fillId="0" borderId="69" xfId="0" applyFont="1" applyBorder="1" applyAlignment="1">
      <alignment horizontal="center" wrapText="1"/>
    </xf>
    <xf numFmtId="0" fontId="2" fillId="0" borderId="16" xfId="0" applyFont="1" applyBorder="1" applyAlignment="1">
      <alignment horizontal="left" vertical="center"/>
    </xf>
    <xf numFmtId="0" fontId="4" fillId="0" borderId="14" xfId="0" applyFont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2" fillId="0" borderId="8" xfId="0" applyFont="1" applyBorder="1" applyAlignment="1">
      <alignment horizontal="left"/>
    </xf>
    <xf numFmtId="0" fontId="2" fillId="3" borderId="16" xfId="0" applyFont="1" applyFill="1" applyBorder="1" applyAlignment="1">
      <alignment horizontal="left"/>
    </xf>
    <xf numFmtId="0" fontId="2" fillId="3" borderId="20" xfId="0" applyFont="1" applyFill="1" applyBorder="1" applyAlignment="1">
      <alignment horizontal="left"/>
    </xf>
    <xf numFmtId="0" fontId="4" fillId="0" borderId="11" xfId="0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12" fillId="0" borderId="16" xfId="0" applyFont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13" fillId="0" borderId="12" xfId="0" applyFont="1" applyBorder="1" applyAlignment="1">
      <alignment horizontal="left"/>
    </xf>
    <xf numFmtId="0" fontId="13" fillId="0" borderId="13" xfId="0" applyFont="1" applyBorder="1" applyAlignment="1">
      <alignment horizontal="left"/>
    </xf>
    <xf numFmtId="0" fontId="4" fillId="0" borderId="63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6" fillId="0" borderId="14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8" fillId="0" borderId="26" xfId="0" applyFont="1" applyBorder="1" applyAlignment="1">
      <alignment horizontal="right" vertical="center"/>
    </xf>
    <xf numFmtId="14" fontId="6" fillId="0" borderId="27" xfId="0" applyNumberFormat="1" applyFont="1" applyBorder="1" applyAlignment="1">
      <alignment horizontal="center" vertical="center"/>
    </xf>
    <xf numFmtId="14" fontId="6" fillId="0" borderId="28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right" vertical="center" wrapText="1"/>
    </xf>
    <xf numFmtId="0" fontId="4" fillId="0" borderId="6" xfId="0" applyFont="1" applyBorder="1" applyAlignment="1">
      <alignment horizontal="right" vertical="center" wrapText="1"/>
    </xf>
    <xf numFmtId="0" fontId="4" fillId="0" borderId="51" xfId="0" applyFont="1" applyBorder="1" applyAlignment="1">
      <alignment horizontal="right" vertical="center" wrapText="1"/>
    </xf>
    <xf numFmtId="0" fontId="4" fillId="0" borderId="53" xfId="0" applyFont="1" applyBorder="1" applyAlignment="1">
      <alignment horizontal="right" vertical="center" wrapText="1"/>
    </xf>
    <xf numFmtId="0" fontId="10" fillId="0" borderId="71" xfId="0" applyFont="1" applyBorder="1" applyAlignment="1" applyProtection="1">
      <alignment horizontal="center" vertical="center"/>
      <protection locked="0"/>
    </xf>
    <xf numFmtId="0" fontId="10" fillId="0" borderId="69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4" fillId="0" borderId="37" xfId="0" applyFont="1" applyBorder="1" applyAlignment="1">
      <alignment horizontal="left"/>
    </xf>
    <xf numFmtId="0" fontId="4" fillId="0" borderId="38" xfId="0" applyFont="1" applyBorder="1" applyAlignment="1">
      <alignment horizontal="left"/>
    </xf>
    <xf numFmtId="0" fontId="2" fillId="0" borderId="38" xfId="0" applyFont="1" applyBorder="1" applyAlignment="1">
      <alignment horizontal="center" vertical="center"/>
    </xf>
    <xf numFmtId="0" fontId="2" fillId="0" borderId="68" xfId="0" applyFont="1" applyBorder="1" applyAlignment="1">
      <alignment horizontal="center" vertical="center"/>
    </xf>
    <xf numFmtId="0" fontId="2" fillId="3" borderId="11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8" fillId="0" borderId="1" xfId="0" applyFont="1" applyBorder="1" applyAlignment="1">
      <alignment horizontal="right" vertical="center"/>
    </xf>
    <xf numFmtId="0" fontId="8" fillId="0" borderId="64" xfId="0" applyFont="1" applyBorder="1" applyAlignment="1">
      <alignment horizontal="right" vertical="center"/>
    </xf>
    <xf numFmtId="0" fontId="8" fillId="0" borderId="77" xfId="0" applyFont="1" applyBorder="1" applyAlignment="1">
      <alignment horizontal="right" vertical="center"/>
    </xf>
    <xf numFmtId="0" fontId="8" fillId="0" borderId="24" xfId="0" applyFont="1" applyBorder="1" applyAlignment="1">
      <alignment horizontal="right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wrapText="1"/>
    </xf>
    <xf numFmtId="0" fontId="8" fillId="0" borderId="5" xfId="0" applyFont="1" applyBorder="1" applyAlignment="1">
      <alignment horizontal="center" wrapText="1"/>
    </xf>
    <xf numFmtId="0" fontId="8" fillId="0" borderId="6" xfId="0" applyFont="1" applyBorder="1" applyAlignment="1">
      <alignment horizontal="center" wrapText="1"/>
    </xf>
    <xf numFmtId="0" fontId="8" fillId="0" borderId="22" xfId="0" applyFont="1" applyBorder="1" applyAlignment="1">
      <alignment horizontal="center" wrapText="1"/>
    </xf>
    <xf numFmtId="0" fontId="8" fillId="0" borderId="23" xfId="0" applyFont="1" applyBorder="1" applyAlignment="1">
      <alignment horizontal="center" wrapText="1"/>
    </xf>
    <xf numFmtId="0" fontId="8" fillId="0" borderId="74" xfId="0" applyFont="1" applyBorder="1" applyAlignment="1">
      <alignment horizontal="center" wrapText="1"/>
    </xf>
    <xf numFmtId="0" fontId="6" fillId="0" borderId="14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165" fontId="2" fillId="0" borderId="14" xfId="0" applyNumberFormat="1" applyFont="1" applyBorder="1" applyAlignment="1">
      <alignment horizontal="center" wrapText="1"/>
    </xf>
    <xf numFmtId="165" fontId="2" fillId="0" borderId="21" xfId="0" applyNumberFormat="1" applyFont="1" applyBorder="1" applyAlignment="1">
      <alignment horizontal="center" wrapText="1"/>
    </xf>
    <xf numFmtId="0" fontId="6" fillId="0" borderId="27" xfId="0" applyFont="1" applyBorder="1" applyAlignment="1">
      <alignment horizontal="left"/>
    </xf>
    <xf numFmtId="0" fontId="6" fillId="0" borderId="36" xfId="0" applyFont="1" applyBorder="1" applyAlignment="1">
      <alignment horizontal="left"/>
    </xf>
    <xf numFmtId="0" fontId="8" fillId="0" borderId="27" xfId="0" applyFont="1" applyBorder="1" applyAlignment="1">
      <alignment horizontal="right"/>
    </xf>
    <xf numFmtId="0" fontId="8" fillId="0" borderId="36" xfId="0" applyFont="1" applyBorder="1" applyAlignment="1">
      <alignment horizontal="right"/>
    </xf>
    <xf numFmtId="0" fontId="6" fillId="0" borderId="27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14" fontId="6" fillId="0" borderId="27" xfId="0" applyNumberFormat="1" applyFont="1" applyBorder="1" applyAlignment="1">
      <alignment horizontal="center"/>
    </xf>
    <xf numFmtId="14" fontId="6" fillId="0" borderId="28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1" fillId="0" borderId="71" xfId="0" applyFont="1" applyBorder="1" applyAlignment="1" applyProtection="1">
      <alignment horizontal="center" vertical="center"/>
      <protection locked="0"/>
    </xf>
    <xf numFmtId="0" fontId="11" fillId="0" borderId="69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8" fillId="0" borderId="53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/>
    </xf>
    <xf numFmtId="0" fontId="2" fillId="0" borderId="71" xfId="0" applyFont="1" applyBorder="1" applyAlignment="1">
      <alignment horizontal="center" vertical="center"/>
    </xf>
    <xf numFmtId="0" fontId="2" fillId="0" borderId="70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wrapText="1"/>
    </xf>
    <xf numFmtId="0" fontId="2" fillId="0" borderId="45" xfId="0" applyFont="1" applyBorder="1" applyAlignment="1">
      <alignment horizontal="center" wrapText="1"/>
    </xf>
    <xf numFmtId="0" fontId="2" fillId="0" borderId="37" xfId="0" applyFont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48" xfId="0" applyFont="1" applyBorder="1" applyAlignment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0" fontId="4" fillId="0" borderId="10" xfId="0" applyFont="1" applyBorder="1" applyAlignment="1">
      <alignment horizontal="left" vertical="center" wrapText="1"/>
    </xf>
    <xf numFmtId="0" fontId="4" fillId="0" borderId="59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left" vertical="center" wrapText="1"/>
    </xf>
    <xf numFmtId="0" fontId="2" fillId="0" borderId="26" xfId="0" applyFont="1" applyBorder="1" applyAlignment="1">
      <alignment horizontal="left" vertical="center" wrapText="1"/>
    </xf>
    <xf numFmtId="0" fontId="2" fillId="0" borderId="59" xfId="0" applyFont="1" applyBorder="1" applyAlignment="1">
      <alignment horizontal="left"/>
    </xf>
    <xf numFmtId="0" fontId="2" fillId="0" borderId="60" xfId="0" applyFont="1" applyBorder="1" applyAlignment="1">
      <alignment horizontal="left"/>
    </xf>
    <xf numFmtId="0" fontId="2" fillId="0" borderId="60" xfId="0" applyFont="1" applyBorder="1" applyAlignment="1">
      <alignment horizontal="center" vertical="center"/>
    </xf>
    <xf numFmtId="0" fontId="2" fillId="0" borderId="6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77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4" fillId="0" borderId="24" xfId="0" applyFont="1" applyBorder="1" applyAlignment="1">
      <alignment horizontal="left"/>
    </xf>
    <xf numFmtId="0" fontId="7" fillId="3" borderId="11" xfId="0" applyFont="1" applyFill="1" applyBorder="1" applyAlignment="1">
      <alignment horizontal="left"/>
    </xf>
    <xf numFmtId="0" fontId="7" fillId="3" borderId="12" xfId="0" applyFont="1" applyFill="1" applyBorder="1" applyAlignment="1">
      <alignment horizontal="left"/>
    </xf>
    <xf numFmtId="0" fontId="7" fillId="3" borderId="13" xfId="0" applyFont="1" applyFill="1" applyBorder="1" applyAlignment="1">
      <alignment horizontal="left"/>
    </xf>
    <xf numFmtId="0" fontId="2" fillId="0" borderId="76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2" fillId="0" borderId="14" xfId="0" applyFont="1" applyBorder="1" applyAlignment="1">
      <alignment horizontal="left" vertical="center" wrapText="1"/>
    </xf>
    <xf numFmtId="0" fontId="2" fillId="0" borderId="12" xfId="0" applyFont="1" applyBorder="1" applyAlignment="1">
      <alignment horizontal="left" vertical="center" wrapText="1"/>
    </xf>
    <xf numFmtId="0" fontId="2" fillId="0" borderId="21" xfId="0" applyFont="1" applyBorder="1" applyAlignment="1">
      <alignment horizontal="left" vertical="center" wrapText="1"/>
    </xf>
    <xf numFmtId="0" fontId="4" fillId="0" borderId="48" xfId="0" applyFont="1" applyBorder="1" applyAlignment="1">
      <alignment horizontal="right" vertical="center"/>
    </xf>
    <xf numFmtId="0" fontId="2" fillId="0" borderId="48" xfId="0" applyFont="1" applyBorder="1" applyAlignment="1" applyProtection="1">
      <alignment horizontal="left" vertical="center"/>
      <protection locked="0"/>
    </xf>
    <xf numFmtId="0" fontId="2" fillId="0" borderId="65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>
      <alignment horizontal="center" vertical="center"/>
    </xf>
    <xf numFmtId="0" fontId="7" fillId="3" borderId="76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7" fillId="3" borderId="19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right" vertical="center" wrapText="1"/>
    </xf>
    <xf numFmtId="0" fontId="1" fillId="0" borderId="5" xfId="0" applyFont="1" applyBorder="1" applyAlignment="1">
      <alignment horizontal="right" vertical="center" wrapText="1"/>
    </xf>
    <xf numFmtId="0" fontId="1" fillId="0" borderId="64" xfId="0" applyFont="1" applyBorder="1" applyAlignment="1">
      <alignment horizontal="right" vertical="center" wrapText="1"/>
    </xf>
    <xf numFmtId="0" fontId="1" fillId="0" borderId="51" xfId="0" applyFont="1" applyBorder="1" applyAlignment="1">
      <alignment horizontal="right" vertical="center" wrapText="1"/>
    </xf>
    <xf numFmtId="0" fontId="1" fillId="0" borderId="52" xfId="0" applyFont="1" applyBorder="1" applyAlignment="1">
      <alignment horizontal="right" vertical="center" wrapText="1"/>
    </xf>
    <xf numFmtId="0" fontId="1" fillId="0" borderId="62" xfId="0" applyFont="1" applyBorder="1" applyAlignment="1">
      <alignment horizontal="right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39" xfId="0" applyFill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left"/>
    </xf>
    <xf numFmtId="0" fontId="4" fillId="0" borderId="48" xfId="0" applyFont="1" applyBorder="1" applyAlignment="1">
      <alignment horizontal="right"/>
    </xf>
    <xf numFmtId="0" fontId="2" fillId="0" borderId="48" xfId="0" applyFont="1" applyBorder="1" applyAlignment="1" applyProtection="1">
      <alignment horizontal="left"/>
      <protection locked="0"/>
    </xf>
    <xf numFmtId="0" fontId="2" fillId="0" borderId="65" xfId="0" applyFont="1" applyBorder="1" applyAlignment="1" applyProtection="1">
      <alignment horizontal="left"/>
      <protection locked="0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77" xfId="0" applyFont="1" applyBorder="1" applyAlignment="1">
      <alignment horizontal="center" vertical="center"/>
    </xf>
    <xf numFmtId="0" fontId="4" fillId="0" borderId="14" xfId="0" applyFont="1" applyBorder="1" applyAlignment="1">
      <alignment horizontal="right" wrapText="1"/>
    </xf>
    <xf numFmtId="0" fontId="4" fillId="0" borderId="13" xfId="0" applyFont="1" applyBorder="1" applyAlignment="1">
      <alignment horizontal="right" wrapText="1"/>
    </xf>
    <xf numFmtId="0" fontId="2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right" wrapText="1"/>
    </xf>
    <xf numFmtId="0" fontId="18" fillId="0" borderId="16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4" fillId="0" borderId="7" xfId="0" applyFont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4" fillId="0" borderId="63" xfId="0" applyFont="1" applyBorder="1" applyAlignment="1">
      <alignment horizontal="left" vertical="center"/>
    </xf>
    <xf numFmtId="0" fontId="4" fillId="0" borderId="64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10" fillId="3" borderId="71" xfId="0" applyFont="1" applyFill="1" applyBorder="1" applyAlignment="1" applyProtection="1">
      <alignment horizontal="center" vertical="center"/>
      <protection locked="0"/>
    </xf>
    <xf numFmtId="0" fontId="10" fillId="3" borderId="69" xfId="0" applyFont="1" applyFill="1" applyBorder="1" applyAlignment="1" applyProtection="1">
      <alignment horizontal="center" vertical="center"/>
      <protection locked="0"/>
    </xf>
    <xf numFmtId="0" fontId="4" fillId="0" borderId="52" xfId="0" applyFont="1" applyBorder="1" applyAlignment="1">
      <alignment horizontal="center"/>
    </xf>
    <xf numFmtId="0" fontId="8" fillId="0" borderId="26" xfId="0" applyFont="1" applyBorder="1" applyAlignment="1">
      <alignment horizontal="right"/>
    </xf>
    <xf numFmtId="0" fontId="8" fillId="0" borderId="26" xfId="0" applyFont="1" applyBorder="1" applyAlignment="1">
      <alignment horizontal="left"/>
    </xf>
    <xf numFmtId="0" fontId="2" fillId="0" borderId="1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49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50" xfId="0" applyFont="1" applyBorder="1" applyAlignment="1">
      <alignment horizontal="right" vertical="center"/>
    </xf>
    <xf numFmtId="0" fontId="2" fillId="0" borderId="51" xfId="0" applyFont="1" applyBorder="1" applyAlignment="1">
      <alignment horizontal="right" vertical="center"/>
    </xf>
    <xf numFmtId="0" fontId="2" fillId="0" borderId="52" xfId="0" applyFont="1" applyBorder="1" applyAlignment="1">
      <alignment horizontal="right" vertical="center"/>
    </xf>
    <xf numFmtId="0" fontId="2" fillId="0" borderId="53" xfId="0" applyFont="1" applyBorder="1" applyAlignment="1">
      <alignment horizontal="right" vertical="center"/>
    </xf>
  </cellXfs>
  <cellStyles count="3">
    <cellStyle name="Hipervínculo" xfId="2" builtinId="8"/>
    <cellStyle name="Normal" xfId="0" builtinId="0"/>
    <cellStyle name="Normal 11" xfId="1" xr:uid="{00000000-0005-0000-0000-000002000000}"/>
  </cellStyles>
  <dxfs count="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cid:image005.png@01CC8FEF.446CD2C0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8.jpe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8.jpe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cid:image005.png@01CC8FEF.446CD2C0" TargetMode="External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cid:image005.png@01CC8FEF.446CD2C0" TargetMode="External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cid:image005.png@01CC8FEF.446CD2C0" TargetMode="External"/><Relationship Id="rId2" Type="http://schemas.openxmlformats.org/officeDocument/2006/relationships/image" Target="../media/image1.png"/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209428</xdr:colOff>
      <xdr:row>1</xdr:row>
      <xdr:rowOff>41276</xdr:rowOff>
    </xdr:from>
    <xdr:to>
      <xdr:col>10</xdr:col>
      <xdr:colOff>690562</xdr:colOff>
      <xdr:row>1</xdr:row>
      <xdr:rowOff>723412</xdr:rowOff>
    </xdr:to>
    <xdr:pic>
      <xdr:nvPicPr>
        <xdr:cNvPr id="2" name="3 Imagen" descr="cid:image001.png@01CC87F9.7C66CC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478" y="41276"/>
          <a:ext cx="1395534" cy="6535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43962</xdr:colOff>
      <xdr:row>1</xdr:row>
      <xdr:rowOff>47625</xdr:rowOff>
    </xdr:from>
    <xdr:to>
      <xdr:col>1</xdr:col>
      <xdr:colOff>1392116</xdr:colOff>
      <xdr:row>1</xdr:row>
      <xdr:rowOff>740019</xdr:rowOff>
    </xdr:to>
    <xdr:pic>
      <xdr:nvPicPr>
        <xdr:cNvPr id="3" name="1 Imagen" descr="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262" y="47625"/>
          <a:ext cx="1348154" cy="6923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209428</xdr:colOff>
      <xdr:row>1</xdr:row>
      <xdr:rowOff>41276</xdr:rowOff>
    </xdr:from>
    <xdr:to>
      <xdr:col>10</xdr:col>
      <xdr:colOff>690562</xdr:colOff>
      <xdr:row>1</xdr:row>
      <xdr:rowOff>694837</xdr:rowOff>
    </xdr:to>
    <xdr:pic>
      <xdr:nvPicPr>
        <xdr:cNvPr id="8" name="3 Imagen" descr="cid:image001.png@01CC87F9.7C66CC6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478" y="41276"/>
          <a:ext cx="1395534" cy="6535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43962</xdr:colOff>
      <xdr:row>1</xdr:row>
      <xdr:rowOff>47625</xdr:rowOff>
    </xdr:from>
    <xdr:to>
      <xdr:col>1</xdr:col>
      <xdr:colOff>1392116</xdr:colOff>
      <xdr:row>1</xdr:row>
      <xdr:rowOff>740019</xdr:rowOff>
    </xdr:to>
    <xdr:pic>
      <xdr:nvPicPr>
        <xdr:cNvPr id="9" name="1 Imagen" descr="log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262" y="47625"/>
          <a:ext cx="1348154" cy="6923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216754</xdr:colOff>
      <xdr:row>0</xdr:row>
      <xdr:rowOff>43962</xdr:rowOff>
    </xdr:from>
    <xdr:to>
      <xdr:col>1</xdr:col>
      <xdr:colOff>1658937</xdr:colOff>
      <xdr:row>0</xdr:row>
      <xdr:rowOff>945173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3904" y="43962"/>
          <a:ext cx="1442183" cy="9012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153256</xdr:colOff>
      <xdr:row>0</xdr:row>
      <xdr:rowOff>73268</xdr:rowOff>
    </xdr:from>
    <xdr:to>
      <xdr:col>11</xdr:col>
      <xdr:colOff>234952</xdr:colOff>
      <xdr:row>0</xdr:row>
      <xdr:rowOff>908537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/>
        <a:srcRect/>
        <a:stretch>
          <a:fillRect/>
        </a:stretch>
      </xdr:blipFill>
      <xdr:spPr bwMode="auto">
        <a:xfrm>
          <a:off x="5209444" y="73268"/>
          <a:ext cx="1807308" cy="8352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4</xdr:row>
          <xdr:rowOff>133350</xdr:rowOff>
        </xdr:from>
        <xdr:to>
          <xdr:col>15</xdr:col>
          <xdr:colOff>9525</xdr:colOff>
          <xdr:row>6</xdr:row>
          <xdr:rowOff>76200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73268</xdr:colOff>
      <xdr:row>0</xdr:row>
      <xdr:rowOff>42741</xdr:rowOff>
    </xdr:from>
    <xdr:to>
      <xdr:col>1</xdr:col>
      <xdr:colOff>1352549</xdr:colOff>
      <xdr:row>0</xdr:row>
      <xdr:rowOff>878011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1706" y="42741"/>
          <a:ext cx="1279281" cy="8352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80597</xdr:colOff>
      <xdr:row>0</xdr:row>
      <xdr:rowOff>95250</xdr:rowOff>
    </xdr:from>
    <xdr:to>
      <xdr:col>11</xdr:col>
      <xdr:colOff>309562</xdr:colOff>
      <xdr:row>0</xdr:row>
      <xdr:rowOff>835270</xdr:rowOff>
    </xdr:to>
    <xdr:pic>
      <xdr:nvPicPr>
        <xdr:cNvPr id="4" name="2 Imagen" descr="cid:image001.png@01CC87F9.7C66CC60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/>
        <a:srcRect/>
        <a:stretch>
          <a:fillRect/>
        </a:stretch>
      </xdr:blipFill>
      <xdr:spPr bwMode="auto">
        <a:xfrm>
          <a:off x="4470035" y="95250"/>
          <a:ext cx="1459278" cy="7400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116897</xdr:colOff>
      <xdr:row>0</xdr:row>
      <xdr:rowOff>95250</xdr:rowOff>
    </xdr:from>
    <xdr:to>
      <xdr:col>11</xdr:col>
      <xdr:colOff>386196</xdr:colOff>
      <xdr:row>0</xdr:row>
      <xdr:rowOff>923192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3533" y="95250"/>
          <a:ext cx="1594140" cy="8279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90975</xdr:colOff>
      <xdr:row>0</xdr:row>
      <xdr:rowOff>73268</xdr:rowOff>
    </xdr:from>
    <xdr:to>
      <xdr:col>2</xdr:col>
      <xdr:colOff>1198562</xdr:colOff>
      <xdr:row>0</xdr:row>
      <xdr:rowOff>945173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913" y="73268"/>
          <a:ext cx="1107587" cy="871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273538</xdr:colOff>
      <xdr:row>0</xdr:row>
      <xdr:rowOff>111125</xdr:rowOff>
    </xdr:from>
    <xdr:to>
      <xdr:col>3</xdr:col>
      <xdr:colOff>619125</xdr:colOff>
      <xdr:row>0</xdr:row>
      <xdr:rowOff>923803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538" y="111125"/>
          <a:ext cx="1242525" cy="8126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48846</xdr:colOff>
      <xdr:row>0</xdr:row>
      <xdr:rowOff>95250</xdr:rowOff>
    </xdr:from>
    <xdr:to>
      <xdr:col>12</xdr:col>
      <xdr:colOff>508001</xdr:colOff>
      <xdr:row>0</xdr:row>
      <xdr:rowOff>904875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5221" y="95250"/>
          <a:ext cx="990967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</xdr:row>
          <xdr:rowOff>133350</xdr:rowOff>
        </xdr:from>
        <xdr:to>
          <xdr:col>16</xdr:col>
          <xdr:colOff>19050</xdr:colOff>
          <xdr:row>6</xdr:row>
          <xdr:rowOff>95250</xdr:rowOff>
        </xdr:to>
        <xdr:sp macro="" textlink="">
          <xdr:nvSpPr>
            <xdr:cNvPr id="6147" name="IMPRIMIRCOPIAS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69273</xdr:colOff>
      <xdr:row>0</xdr:row>
      <xdr:rowOff>69273</xdr:rowOff>
    </xdr:from>
    <xdr:to>
      <xdr:col>2</xdr:col>
      <xdr:colOff>294410</xdr:colOff>
      <xdr:row>0</xdr:row>
      <xdr:rowOff>917864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455" y="69273"/>
          <a:ext cx="1143000" cy="848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69273</xdr:colOff>
      <xdr:row>0</xdr:row>
      <xdr:rowOff>76200</xdr:rowOff>
    </xdr:from>
    <xdr:to>
      <xdr:col>18</xdr:col>
      <xdr:colOff>323849</xdr:colOff>
      <xdr:row>0</xdr:row>
      <xdr:rowOff>904875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06341" y="76200"/>
          <a:ext cx="1778576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69272</xdr:colOff>
      <xdr:row>0</xdr:row>
      <xdr:rowOff>60614</xdr:rowOff>
    </xdr:from>
    <xdr:to>
      <xdr:col>2</xdr:col>
      <xdr:colOff>285750</xdr:colOff>
      <xdr:row>0</xdr:row>
      <xdr:rowOff>935181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722" y="60614"/>
          <a:ext cx="1130878" cy="8745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96115</xdr:colOff>
      <xdr:row>0</xdr:row>
      <xdr:rowOff>65809</xdr:rowOff>
    </xdr:from>
    <xdr:to>
      <xdr:col>17</xdr:col>
      <xdr:colOff>371475</xdr:colOff>
      <xdr:row>0</xdr:row>
      <xdr:rowOff>912669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9665" y="65809"/>
          <a:ext cx="1618385" cy="846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69272</xdr:colOff>
      <xdr:row>0</xdr:row>
      <xdr:rowOff>60614</xdr:rowOff>
    </xdr:from>
    <xdr:to>
      <xdr:col>2</xdr:col>
      <xdr:colOff>285750</xdr:colOff>
      <xdr:row>0</xdr:row>
      <xdr:rowOff>935181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722" y="60614"/>
          <a:ext cx="1130878" cy="8745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96115</xdr:colOff>
      <xdr:row>0</xdr:row>
      <xdr:rowOff>65809</xdr:rowOff>
    </xdr:from>
    <xdr:to>
      <xdr:col>18</xdr:col>
      <xdr:colOff>190500</xdr:colOff>
      <xdr:row>0</xdr:row>
      <xdr:rowOff>912669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5390" y="65809"/>
          <a:ext cx="1618385" cy="846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69272</xdr:colOff>
      <xdr:row>0</xdr:row>
      <xdr:rowOff>60614</xdr:rowOff>
    </xdr:from>
    <xdr:to>
      <xdr:col>2</xdr:col>
      <xdr:colOff>285750</xdr:colOff>
      <xdr:row>0</xdr:row>
      <xdr:rowOff>935181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722" y="60614"/>
          <a:ext cx="1130878" cy="8745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96115</xdr:colOff>
      <xdr:row>0</xdr:row>
      <xdr:rowOff>65809</xdr:rowOff>
    </xdr:from>
    <xdr:to>
      <xdr:col>18</xdr:col>
      <xdr:colOff>190500</xdr:colOff>
      <xdr:row>0</xdr:row>
      <xdr:rowOff>912669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9665" y="65809"/>
          <a:ext cx="1618385" cy="846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69272</xdr:colOff>
      <xdr:row>0</xdr:row>
      <xdr:rowOff>60614</xdr:rowOff>
    </xdr:from>
    <xdr:to>
      <xdr:col>2</xdr:col>
      <xdr:colOff>285750</xdr:colOff>
      <xdr:row>0</xdr:row>
      <xdr:rowOff>935181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C27C803-E221-4B21-AC6F-F7FC0C47E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722" y="60614"/>
          <a:ext cx="1130878" cy="8745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96115</xdr:colOff>
      <xdr:row>0</xdr:row>
      <xdr:rowOff>65809</xdr:rowOff>
    </xdr:from>
    <xdr:to>
      <xdr:col>18</xdr:col>
      <xdr:colOff>190500</xdr:colOff>
      <xdr:row>0</xdr:row>
      <xdr:rowOff>912669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9956AA84-D664-4FA8-9BBA-AF3E2058EC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9665" y="65809"/>
          <a:ext cx="1618385" cy="846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69272</xdr:colOff>
      <xdr:row>0</xdr:row>
      <xdr:rowOff>60614</xdr:rowOff>
    </xdr:from>
    <xdr:to>
      <xdr:col>2</xdr:col>
      <xdr:colOff>285750</xdr:colOff>
      <xdr:row>0</xdr:row>
      <xdr:rowOff>935181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722" y="60614"/>
          <a:ext cx="1130878" cy="8745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96115</xdr:colOff>
      <xdr:row>0</xdr:row>
      <xdr:rowOff>65809</xdr:rowOff>
    </xdr:from>
    <xdr:to>
      <xdr:col>18</xdr:col>
      <xdr:colOff>190500</xdr:colOff>
      <xdr:row>0</xdr:row>
      <xdr:rowOff>912669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9665" y="65809"/>
          <a:ext cx="1618385" cy="846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69272</xdr:colOff>
      <xdr:row>0</xdr:row>
      <xdr:rowOff>60614</xdr:rowOff>
    </xdr:from>
    <xdr:to>
      <xdr:col>2</xdr:col>
      <xdr:colOff>285750</xdr:colOff>
      <xdr:row>0</xdr:row>
      <xdr:rowOff>935181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722" y="60614"/>
          <a:ext cx="1130878" cy="8745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96115</xdr:colOff>
      <xdr:row>0</xdr:row>
      <xdr:rowOff>65809</xdr:rowOff>
    </xdr:from>
    <xdr:to>
      <xdr:col>18</xdr:col>
      <xdr:colOff>190500</xdr:colOff>
      <xdr:row>0</xdr:row>
      <xdr:rowOff>912669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9665" y="65809"/>
          <a:ext cx="1618385" cy="846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69272</xdr:colOff>
      <xdr:row>0</xdr:row>
      <xdr:rowOff>60614</xdr:rowOff>
    </xdr:from>
    <xdr:to>
      <xdr:col>2</xdr:col>
      <xdr:colOff>285750</xdr:colOff>
      <xdr:row>0</xdr:row>
      <xdr:rowOff>935181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722" y="60614"/>
          <a:ext cx="1130878" cy="8745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96115</xdr:colOff>
      <xdr:row>0</xdr:row>
      <xdr:rowOff>65809</xdr:rowOff>
    </xdr:from>
    <xdr:to>
      <xdr:col>18</xdr:col>
      <xdr:colOff>190500</xdr:colOff>
      <xdr:row>0</xdr:row>
      <xdr:rowOff>912669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9665" y="65809"/>
          <a:ext cx="1618385" cy="846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51289</xdr:colOff>
      <xdr:row>0</xdr:row>
      <xdr:rowOff>51288</xdr:rowOff>
    </xdr:from>
    <xdr:to>
      <xdr:col>2</xdr:col>
      <xdr:colOff>842597</xdr:colOff>
      <xdr:row>0</xdr:row>
      <xdr:rowOff>937846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212" y="51288"/>
          <a:ext cx="791308" cy="8865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149470</xdr:colOff>
      <xdr:row>0</xdr:row>
      <xdr:rowOff>65943</xdr:rowOff>
    </xdr:from>
    <xdr:to>
      <xdr:col>11</xdr:col>
      <xdr:colOff>614728</xdr:colOff>
      <xdr:row>0</xdr:row>
      <xdr:rowOff>901213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02545" y="65943"/>
          <a:ext cx="1646358" cy="8352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5</xdr:row>
          <xdr:rowOff>19050</xdr:rowOff>
        </xdr:from>
        <xdr:to>
          <xdr:col>14</xdr:col>
          <xdr:colOff>485775</xdr:colOff>
          <xdr:row>6</xdr:row>
          <xdr:rowOff>123825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D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0</xdr:row>
      <xdr:rowOff>51289</xdr:rowOff>
    </xdr:from>
    <xdr:to>
      <xdr:col>2</xdr:col>
      <xdr:colOff>838200</xdr:colOff>
      <xdr:row>0</xdr:row>
      <xdr:rowOff>914401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60" y="51289"/>
          <a:ext cx="771525" cy="86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127612</xdr:colOff>
      <xdr:row>0</xdr:row>
      <xdr:rowOff>87314</xdr:rowOff>
    </xdr:from>
    <xdr:to>
      <xdr:col>11</xdr:col>
      <xdr:colOff>428626</xdr:colOff>
      <xdr:row>0</xdr:row>
      <xdr:rowOff>871296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8237" y="87314"/>
          <a:ext cx="1523389" cy="783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5</xdr:row>
          <xdr:rowOff>19050</xdr:rowOff>
        </xdr:from>
        <xdr:to>
          <xdr:col>14</xdr:col>
          <xdr:colOff>495300</xdr:colOff>
          <xdr:row>6</xdr:row>
          <xdr:rowOff>123825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209428</xdr:colOff>
      <xdr:row>0</xdr:row>
      <xdr:rowOff>41276</xdr:rowOff>
    </xdr:from>
    <xdr:to>
      <xdr:col>11</xdr:col>
      <xdr:colOff>690562</xdr:colOff>
      <xdr:row>0</xdr:row>
      <xdr:rowOff>694837</xdr:rowOff>
    </xdr:to>
    <xdr:pic>
      <xdr:nvPicPr>
        <xdr:cNvPr id="2" name="3 Imagen" descr="cid:image001.png@01CC87F9.7C66CC60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6241" y="41276"/>
          <a:ext cx="1393947" cy="6535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4</xdr:row>
          <xdr:rowOff>133350</xdr:rowOff>
        </xdr:from>
        <xdr:to>
          <xdr:col>15</xdr:col>
          <xdr:colOff>19050</xdr:colOff>
          <xdr:row>6</xdr:row>
          <xdr:rowOff>114300</xdr:rowOff>
        </xdr:to>
        <xdr:sp macro="" textlink="">
          <xdr:nvSpPr>
            <xdr:cNvPr id="13313" name="IMPRIMIRCOPIAS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F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43962</xdr:colOff>
      <xdr:row>0</xdr:row>
      <xdr:rowOff>47625</xdr:rowOff>
    </xdr:from>
    <xdr:to>
      <xdr:col>2</xdr:col>
      <xdr:colOff>1392116</xdr:colOff>
      <xdr:row>0</xdr:row>
      <xdr:rowOff>740019</xdr:rowOff>
    </xdr:to>
    <xdr:pic>
      <xdr:nvPicPr>
        <xdr:cNvPr id="5" name="1 Imagen" descr="logo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193" y="47625"/>
          <a:ext cx="1348154" cy="6923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209428</xdr:colOff>
      <xdr:row>0</xdr:row>
      <xdr:rowOff>41276</xdr:rowOff>
    </xdr:from>
    <xdr:to>
      <xdr:col>11</xdr:col>
      <xdr:colOff>957262</xdr:colOff>
      <xdr:row>0</xdr:row>
      <xdr:rowOff>704850</xdr:rowOff>
    </xdr:to>
    <xdr:pic>
      <xdr:nvPicPr>
        <xdr:cNvPr id="2" name="3 Imagen" descr="cid:image001.png@01CC87F9.7C66CC60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478" y="41276"/>
          <a:ext cx="1395534" cy="663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4</xdr:row>
          <xdr:rowOff>133350</xdr:rowOff>
        </xdr:from>
        <xdr:to>
          <xdr:col>15</xdr:col>
          <xdr:colOff>19050</xdr:colOff>
          <xdr:row>6</xdr:row>
          <xdr:rowOff>114300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43962</xdr:colOff>
      <xdr:row>0</xdr:row>
      <xdr:rowOff>47625</xdr:rowOff>
    </xdr:from>
    <xdr:to>
      <xdr:col>2</xdr:col>
      <xdr:colOff>1392116</xdr:colOff>
      <xdr:row>0</xdr:row>
      <xdr:rowOff>740019</xdr:rowOff>
    </xdr:to>
    <xdr:pic>
      <xdr:nvPicPr>
        <xdr:cNvPr id="3" name="1 Imagen" descr="log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262" y="47625"/>
          <a:ext cx="1348154" cy="6923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104775</xdr:rowOff>
    </xdr:from>
    <xdr:to>
      <xdr:col>1</xdr:col>
      <xdr:colOff>904875</xdr:colOff>
      <xdr:row>0</xdr:row>
      <xdr:rowOff>914400</xdr:rowOff>
    </xdr:to>
    <xdr:pic>
      <xdr:nvPicPr>
        <xdr:cNvPr id="2" name="1 Imagen" descr="log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04775"/>
          <a:ext cx="838200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228601</xdr:colOff>
      <xdr:row>0</xdr:row>
      <xdr:rowOff>47625</xdr:rowOff>
    </xdr:from>
    <xdr:to>
      <xdr:col>10</xdr:col>
      <xdr:colOff>390526</xdr:colOff>
      <xdr:row>0</xdr:row>
      <xdr:rowOff>952500</xdr:rowOff>
    </xdr:to>
    <xdr:pic>
      <xdr:nvPicPr>
        <xdr:cNvPr id="3" name="2 Imagen" descr="cid:image001.png@01CC87F9.7C66CC60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05476" y="47625"/>
          <a:ext cx="1181100" cy="90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68.111.30\equipamiento_clinico\Equipos%20m&#233;dicos%20cr&#237;ticos\Carta%20Gantt\Programacio&#769;nMP_2025.xlsm" TargetMode="External"/><Relationship Id="rId1" Type="http://schemas.openxmlformats.org/officeDocument/2006/relationships/externalLinkPath" Target="Carta%20Gantt/Programacio&#769;nMP_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MP_2025"/>
      <sheetName val="Registro_MP-2025"/>
      <sheetName val="Servicio tecnico 2025"/>
      <sheetName val="Bajas 2025"/>
      <sheetName val="Bajas 2024"/>
      <sheetName val="Bajas 2023"/>
    </sheetNames>
    <sheetDataSet>
      <sheetData sheetId="0">
        <row r="8">
          <cell r="C8">
            <v>1</v>
          </cell>
          <cell r="D8" t="str">
            <v>2-115361</v>
          </cell>
          <cell r="E8" t="str">
            <v>Incubadora</v>
          </cell>
          <cell r="F8" t="str">
            <v>Neonatología</v>
          </cell>
          <cell r="G8" t="str">
            <v>UCI Neonatología</v>
          </cell>
          <cell r="H8" t="str">
            <v>UTI 1/2</v>
          </cell>
          <cell r="I8" t="str">
            <v>Arriendo</v>
          </cell>
          <cell r="J8" t="str">
            <v>DRAGER</v>
          </cell>
          <cell r="K8" t="str">
            <v>CALEO</v>
          </cell>
          <cell r="L8" t="str">
            <v>ASJL-0008</v>
          </cell>
          <cell r="M8">
            <v>2018</v>
          </cell>
          <cell r="N8">
            <v>3</v>
          </cell>
          <cell r="O8" t="str">
            <v>Fija</v>
          </cell>
          <cell r="R8" t="str">
            <v>Trimestral</v>
          </cell>
        </row>
        <row r="9">
          <cell r="C9">
            <v>2</v>
          </cell>
          <cell r="D9" t="str">
            <v>2-116070</v>
          </cell>
          <cell r="E9" t="str">
            <v>Incubadora</v>
          </cell>
          <cell r="F9" t="str">
            <v>Neonatología</v>
          </cell>
          <cell r="G9" t="str">
            <v>UCI Neonatología</v>
          </cell>
          <cell r="H9" t="str">
            <v>SALA EQUIPOS</v>
          </cell>
          <cell r="I9" t="str">
            <v>Arriendo</v>
          </cell>
          <cell r="J9" t="str">
            <v>GENERAL ELECTRIC</v>
          </cell>
          <cell r="K9" t="str">
            <v>GIRAFFE OMNIBED CARESTATION</v>
          </cell>
          <cell r="L9" t="str">
            <v>TABX62307</v>
          </cell>
          <cell r="M9">
            <v>2018</v>
          </cell>
          <cell r="N9">
            <v>3</v>
          </cell>
          <cell r="O9" t="str">
            <v>Fija</v>
          </cell>
          <cell r="R9" t="str">
            <v>Trimestral</v>
          </cell>
        </row>
        <row r="10">
          <cell r="C10">
            <v>3</v>
          </cell>
          <cell r="D10" t="str">
            <v>2-116071</v>
          </cell>
          <cell r="E10" t="str">
            <v>Incubadora</v>
          </cell>
          <cell r="F10" t="str">
            <v>Neonatología</v>
          </cell>
          <cell r="G10" t="str">
            <v>UCI Neonatología</v>
          </cell>
          <cell r="H10" t="str">
            <v>UCI 16</v>
          </cell>
          <cell r="I10" t="str">
            <v>Arriendo</v>
          </cell>
          <cell r="J10" t="str">
            <v>GENERAL ELECTRIC</v>
          </cell>
          <cell r="K10" t="str">
            <v>GIRAFFE OMNIBED CARESTATION</v>
          </cell>
          <cell r="L10" t="str">
            <v>TABX62308</v>
          </cell>
          <cell r="M10">
            <v>2018</v>
          </cell>
          <cell r="N10">
            <v>3</v>
          </cell>
          <cell r="O10" t="str">
            <v>Fija</v>
          </cell>
          <cell r="R10" t="str">
            <v>Trimestral</v>
          </cell>
        </row>
        <row r="11">
          <cell r="C11">
            <v>4</v>
          </cell>
          <cell r="D11" t="str">
            <v>2-116018</v>
          </cell>
          <cell r="E11" t="str">
            <v>Incubadora</v>
          </cell>
          <cell r="F11" t="str">
            <v>Neonatología</v>
          </cell>
          <cell r="G11" t="str">
            <v>UCI Neonatología</v>
          </cell>
          <cell r="H11" t="str">
            <v>UTI 1/4</v>
          </cell>
          <cell r="I11" t="str">
            <v>Arriendo</v>
          </cell>
          <cell r="J11" t="str">
            <v>DRAGER</v>
          </cell>
          <cell r="K11" t="str">
            <v>CALEO</v>
          </cell>
          <cell r="L11" t="str">
            <v>ASHM-0118</v>
          </cell>
          <cell r="M11">
            <v>2018</v>
          </cell>
          <cell r="N11">
            <v>3</v>
          </cell>
          <cell r="O11" t="str">
            <v>Fija</v>
          </cell>
          <cell r="R11" t="str">
            <v>Trimestral</v>
          </cell>
        </row>
        <row r="12">
          <cell r="C12">
            <v>5</v>
          </cell>
          <cell r="D12" t="str">
            <v>2-116072</v>
          </cell>
          <cell r="E12" t="str">
            <v>Incubadora</v>
          </cell>
          <cell r="F12" t="str">
            <v>Neonatología</v>
          </cell>
          <cell r="G12" t="str">
            <v>UCI Neonatología</v>
          </cell>
          <cell r="H12" t="str">
            <v>UCI 4</v>
          </cell>
          <cell r="I12" t="str">
            <v>Arriendo</v>
          </cell>
          <cell r="J12" t="str">
            <v>GENERAL ELECTRIC</v>
          </cell>
          <cell r="K12" t="str">
            <v>GIRAFFE OMNIBED CARESTATION</v>
          </cell>
          <cell r="L12" t="str">
            <v>TABX62309</v>
          </cell>
          <cell r="M12">
            <v>2018</v>
          </cell>
          <cell r="N12">
            <v>3</v>
          </cell>
          <cell r="O12" t="str">
            <v>Fija</v>
          </cell>
          <cell r="R12" t="str">
            <v>Trimestral</v>
          </cell>
        </row>
        <row r="13">
          <cell r="C13">
            <v>6</v>
          </cell>
          <cell r="D13" t="str">
            <v>N/A</v>
          </cell>
          <cell r="E13" t="str">
            <v>Incubadora</v>
          </cell>
          <cell r="F13" t="str">
            <v>Neonatología</v>
          </cell>
          <cell r="G13" t="str">
            <v>UCI Neonatología</v>
          </cell>
          <cell r="I13" t="str">
            <v>Demostracion</v>
          </cell>
          <cell r="J13" t="str">
            <v>TSE</v>
          </cell>
          <cell r="K13" t="str">
            <v>Shelly 610</v>
          </cell>
          <cell r="L13" t="str">
            <v>02516.</v>
          </cell>
          <cell r="M13">
            <v>2025</v>
          </cell>
          <cell r="Q13" t="str">
            <v>Equipo en demostracion por un periodo de 2 semanas aproximadamente</v>
          </cell>
        </row>
        <row r="14">
          <cell r="C14">
            <v>7</v>
          </cell>
          <cell r="D14" t="str">
            <v>2-022133</v>
          </cell>
          <cell r="E14" t="str">
            <v>Incubadora</v>
          </cell>
          <cell r="F14" t="str">
            <v>Neonatología</v>
          </cell>
          <cell r="G14" t="str">
            <v>UCI Neonatología</v>
          </cell>
          <cell r="H14" t="str">
            <v>Pasillo</v>
          </cell>
          <cell r="I14" t="str">
            <v>Adquirido</v>
          </cell>
          <cell r="J14" t="str">
            <v>HILL-ROM</v>
          </cell>
          <cell r="K14" t="str">
            <v>TI500</v>
          </cell>
          <cell r="L14" t="str">
            <v>VD03887</v>
          </cell>
          <cell r="M14">
            <v>2002</v>
          </cell>
          <cell r="N14">
            <v>-13</v>
          </cell>
          <cell r="O14" t="str">
            <v>Transporte</v>
          </cell>
          <cell r="R14" t="str">
            <v>Trimestral</v>
          </cell>
        </row>
        <row r="15">
          <cell r="C15">
            <v>8</v>
          </cell>
          <cell r="D15" t="str">
            <v>2-116019</v>
          </cell>
          <cell r="E15" t="str">
            <v>Incubadora</v>
          </cell>
          <cell r="F15" t="str">
            <v>Neonatología</v>
          </cell>
          <cell r="G15" t="str">
            <v>UCI Neonatología</v>
          </cell>
          <cell r="H15" t="str">
            <v>UCI 2</v>
          </cell>
          <cell r="I15" t="str">
            <v>Arriendo</v>
          </cell>
          <cell r="J15" t="str">
            <v>DRAGER</v>
          </cell>
          <cell r="K15" t="str">
            <v>CALEO</v>
          </cell>
          <cell r="L15" t="str">
            <v>ASLB-0016</v>
          </cell>
          <cell r="M15">
            <v>2018</v>
          </cell>
          <cell r="N15">
            <v>3</v>
          </cell>
          <cell r="O15" t="str">
            <v>Fija</v>
          </cell>
          <cell r="R15" t="str">
            <v>Trimestral</v>
          </cell>
        </row>
        <row r="16">
          <cell r="C16">
            <v>9</v>
          </cell>
          <cell r="D16" t="str">
            <v>2-116073</v>
          </cell>
          <cell r="E16" t="str">
            <v>Incubadora</v>
          </cell>
          <cell r="F16" t="str">
            <v>Neonatología</v>
          </cell>
          <cell r="G16" t="str">
            <v>UCI Neonatología</v>
          </cell>
          <cell r="H16" t="str">
            <v>UTI 2/6</v>
          </cell>
          <cell r="I16" t="str">
            <v>Arriendo</v>
          </cell>
          <cell r="J16" t="str">
            <v>GENERAL ELECTRIC</v>
          </cell>
          <cell r="K16" t="str">
            <v>GIRAFFE OMNIBED CARESTATION</v>
          </cell>
          <cell r="L16" t="str">
            <v>TABX62310</v>
          </cell>
          <cell r="M16">
            <v>2018</v>
          </cell>
          <cell r="N16">
            <v>3</v>
          </cell>
          <cell r="O16" t="str">
            <v>Fija</v>
          </cell>
          <cell r="R16" t="str">
            <v>Trimestral</v>
          </cell>
        </row>
        <row r="17">
          <cell r="C17">
            <v>10</v>
          </cell>
          <cell r="E17" t="str">
            <v>Incubadora</v>
          </cell>
          <cell r="N17" t="str">
            <v>Disponible</v>
          </cell>
        </row>
        <row r="18">
          <cell r="C18">
            <v>11</v>
          </cell>
          <cell r="D18" t="str">
            <v>2-125347</v>
          </cell>
          <cell r="E18" t="str">
            <v>Incubadora</v>
          </cell>
          <cell r="F18" t="str">
            <v>SAMU</v>
          </cell>
          <cell r="G18" t="str">
            <v>SAMU</v>
          </cell>
          <cell r="H18" t="str">
            <v>Base 1</v>
          </cell>
          <cell r="I18" t="str">
            <v>Arriendo</v>
          </cell>
          <cell r="J18" t="str">
            <v>ATOM</v>
          </cell>
          <cell r="K18" t="str">
            <v>INCU ARCH</v>
          </cell>
          <cell r="L18" t="str">
            <v>621012300012</v>
          </cell>
          <cell r="M18">
            <v>2023</v>
          </cell>
          <cell r="N18">
            <v>8</v>
          </cell>
          <cell r="O18" t="str">
            <v>Transporte</v>
          </cell>
          <cell r="R18" t="str">
            <v>Timestral</v>
          </cell>
        </row>
        <row r="19">
          <cell r="C19">
            <v>12</v>
          </cell>
          <cell r="E19" t="str">
            <v>Incubadora</v>
          </cell>
          <cell r="N19" t="str">
            <v>Disponible</v>
          </cell>
        </row>
        <row r="20">
          <cell r="C20">
            <v>13</v>
          </cell>
          <cell r="E20" t="str">
            <v>Incubadora</v>
          </cell>
          <cell r="N20" t="str">
            <v>Disponible</v>
          </cell>
        </row>
        <row r="21">
          <cell r="C21">
            <v>14</v>
          </cell>
          <cell r="E21" t="str">
            <v>Incubadora</v>
          </cell>
          <cell r="N21" t="str">
            <v>Disponible</v>
          </cell>
        </row>
        <row r="22">
          <cell r="C22">
            <v>15</v>
          </cell>
          <cell r="E22" t="str">
            <v>Incubadora</v>
          </cell>
          <cell r="N22" t="str">
            <v>Disponible</v>
          </cell>
        </row>
        <row r="23">
          <cell r="C23">
            <v>16</v>
          </cell>
          <cell r="D23" t="str">
            <v>2-116024</v>
          </cell>
          <cell r="E23" t="str">
            <v>Incubadora</v>
          </cell>
          <cell r="F23" t="str">
            <v>Neonatología</v>
          </cell>
          <cell r="G23" t="str">
            <v>UCI Neonatología</v>
          </cell>
          <cell r="H23" t="str">
            <v>UTI 3/3</v>
          </cell>
          <cell r="I23" t="str">
            <v>Arriendo</v>
          </cell>
          <cell r="J23" t="str">
            <v>DRAGER</v>
          </cell>
          <cell r="K23" t="str">
            <v>CALEO</v>
          </cell>
          <cell r="L23" t="str">
            <v>ASLB-0009</v>
          </cell>
          <cell r="M23">
            <v>2018</v>
          </cell>
          <cell r="N23">
            <v>3</v>
          </cell>
          <cell r="O23" t="str">
            <v>Fija</v>
          </cell>
          <cell r="R23" t="str">
            <v>Trimestral</v>
          </cell>
        </row>
        <row r="24">
          <cell r="C24">
            <v>17</v>
          </cell>
          <cell r="E24" t="str">
            <v>Incubadora</v>
          </cell>
          <cell r="N24" t="str">
            <v>Disponible</v>
          </cell>
        </row>
        <row r="25">
          <cell r="C25">
            <v>18</v>
          </cell>
          <cell r="D25" t="str">
            <v>2-112137</v>
          </cell>
          <cell r="E25" t="str">
            <v>Incubadora</v>
          </cell>
          <cell r="F25" t="str">
            <v>Neonatología</v>
          </cell>
          <cell r="G25" t="str">
            <v>UCI Neonatología</v>
          </cell>
          <cell r="H25" t="str">
            <v>UTI 1/6</v>
          </cell>
          <cell r="I25" t="str">
            <v>Adquirido</v>
          </cell>
          <cell r="J25" t="str">
            <v>DRAGER</v>
          </cell>
          <cell r="K25" t="str">
            <v>CALEO</v>
          </cell>
          <cell r="L25" t="str">
            <v>ASDA-0012</v>
          </cell>
          <cell r="M25">
            <v>2012</v>
          </cell>
          <cell r="N25">
            <v>-3</v>
          </cell>
          <cell r="O25" t="str">
            <v>Fija</v>
          </cell>
          <cell r="R25" t="str">
            <v>Trimestral</v>
          </cell>
        </row>
        <row r="26">
          <cell r="C26">
            <v>19</v>
          </cell>
          <cell r="D26" t="str">
            <v>2-016566</v>
          </cell>
          <cell r="E26" t="str">
            <v>Incubadora</v>
          </cell>
          <cell r="F26" t="str">
            <v>Neonatología</v>
          </cell>
          <cell r="G26" t="str">
            <v>UCI Neonatología</v>
          </cell>
          <cell r="H26" t="str">
            <v>UCI 6</v>
          </cell>
          <cell r="I26" t="str">
            <v>Adquirido</v>
          </cell>
          <cell r="J26" t="str">
            <v>DRAGER</v>
          </cell>
          <cell r="K26" t="str">
            <v>CALEO</v>
          </cell>
          <cell r="L26" t="str">
            <v>ASDA-0009</v>
          </cell>
          <cell r="M26">
            <v>2012</v>
          </cell>
          <cell r="N26">
            <v>-3</v>
          </cell>
          <cell r="O26" t="str">
            <v>Fija</v>
          </cell>
          <cell r="R26" t="str">
            <v>Trimestral</v>
          </cell>
        </row>
        <row r="27">
          <cell r="C27">
            <v>20</v>
          </cell>
          <cell r="D27" t="str">
            <v>2-112138</v>
          </cell>
          <cell r="E27" t="str">
            <v>Incubadora</v>
          </cell>
          <cell r="F27" t="str">
            <v>Neonatología</v>
          </cell>
          <cell r="G27" t="str">
            <v>UCI Neonatología</v>
          </cell>
          <cell r="H27" t="str">
            <v>UCI 13</v>
          </cell>
          <cell r="I27" t="str">
            <v>Adquirido</v>
          </cell>
          <cell r="J27" t="str">
            <v>DRAGER</v>
          </cell>
          <cell r="K27" t="str">
            <v>CALEO</v>
          </cell>
          <cell r="L27" t="str">
            <v>ASDA-0010</v>
          </cell>
          <cell r="M27">
            <v>2012</v>
          </cell>
          <cell r="N27">
            <v>-3</v>
          </cell>
          <cell r="O27" t="str">
            <v>Fija</v>
          </cell>
          <cell r="R27" t="str">
            <v>Trimestral</v>
          </cell>
        </row>
        <row r="28">
          <cell r="C28">
            <v>21</v>
          </cell>
          <cell r="D28" t="str">
            <v>2-112141</v>
          </cell>
          <cell r="E28" t="str">
            <v>Incubadora</v>
          </cell>
          <cell r="F28" t="str">
            <v>Neonatología</v>
          </cell>
          <cell r="G28" t="str">
            <v>UCI Neonatología</v>
          </cell>
          <cell r="H28" t="str">
            <v>UTI 4/2</v>
          </cell>
          <cell r="I28" t="str">
            <v>Adquirido</v>
          </cell>
          <cell r="J28" t="str">
            <v>DRAGER</v>
          </cell>
          <cell r="K28" t="str">
            <v>CALEO</v>
          </cell>
          <cell r="L28" t="str">
            <v>ASDA-0011</v>
          </cell>
          <cell r="M28">
            <v>2012</v>
          </cell>
          <cell r="N28">
            <v>-3</v>
          </cell>
          <cell r="O28" t="str">
            <v>Fija</v>
          </cell>
          <cell r="R28" t="str">
            <v>Trimestral</v>
          </cell>
        </row>
        <row r="29">
          <cell r="C29">
            <v>22</v>
          </cell>
          <cell r="E29" t="str">
            <v>Incubadora</v>
          </cell>
        </row>
        <row r="30">
          <cell r="C30">
            <v>23</v>
          </cell>
          <cell r="E30" t="str">
            <v>Incubadora</v>
          </cell>
        </row>
        <row r="31">
          <cell r="C31">
            <v>24</v>
          </cell>
          <cell r="D31" t="str">
            <v>2-116025</v>
          </cell>
          <cell r="E31" t="str">
            <v>Incubadora</v>
          </cell>
          <cell r="F31" t="str">
            <v>Neonatología</v>
          </cell>
          <cell r="G31" t="str">
            <v>UCI Neonatología</v>
          </cell>
          <cell r="H31" t="str">
            <v>UCI 5</v>
          </cell>
          <cell r="I31" t="str">
            <v>Arriendo</v>
          </cell>
          <cell r="J31" t="str">
            <v>DRAGER</v>
          </cell>
          <cell r="K31" t="str">
            <v>CALEO</v>
          </cell>
          <cell r="L31" t="str">
            <v>ASLB-0010</v>
          </cell>
          <cell r="M31">
            <v>2018</v>
          </cell>
          <cell r="N31">
            <v>3</v>
          </cell>
          <cell r="O31" t="str">
            <v>Fija</v>
          </cell>
          <cell r="R31" t="str">
            <v>Trimestral</v>
          </cell>
        </row>
        <row r="32">
          <cell r="C32">
            <v>25</v>
          </cell>
          <cell r="E32" t="str">
            <v>Incubadora</v>
          </cell>
          <cell r="N32" t="str">
            <v>Disponible</v>
          </cell>
        </row>
        <row r="33">
          <cell r="C33">
            <v>26</v>
          </cell>
          <cell r="E33" t="str">
            <v>Incubadora</v>
          </cell>
          <cell r="N33" t="str">
            <v>Disponible</v>
          </cell>
        </row>
        <row r="34">
          <cell r="C34">
            <v>27</v>
          </cell>
          <cell r="E34" t="str">
            <v>Incubadora</v>
          </cell>
          <cell r="N34" t="str">
            <v>Disponible</v>
          </cell>
        </row>
        <row r="35">
          <cell r="C35">
            <v>28</v>
          </cell>
          <cell r="E35" t="str">
            <v>Incubadora</v>
          </cell>
          <cell r="N35" t="str">
            <v>Disponible</v>
          </cell>
        </row>
        <row r="36">
          <cell r="C36">
            <v>29</v>
          </cell>
          <cell r="E36" t="str">
            <v>Incubadora</v>
          </cell>
          <cell r="N36" t="str">
            <v>Disponible</v>
          </cell>
        </row>
        <row r="37">
          <cell r="C37">
            <v>30</v>
          </cell>
          <cell r="E37" t="str">
            <v>Incubadora</v>
          </cell>
          <cell r="N37" t="str">
            <v>Disponible</v>
          </cell>
        </row>
        <row r="38">
          <cell r="C38">
            <v>31</v>
          </cell>
          <cell r="D38" t="str">
            <v>2-024094</v>
          </cell>
          <cell r="E38" t="str">
            <v>Incubadora</v>
          </cell>
          <cell r="F38" t="str">
            <v>Neonatología</v>
          </cell>
          <cell r="G38" t="str">
            <v xml:space="preserve">UCI Neonatología </v>
          </cell>
          <cell r="I38" t="str">
            <v>Adquirido</v>
          </cell>
          <cell r="J38" t="str">
            <v>DRAGER</v>
          </cell>
          <cell r="K38" t="str">
            <v>TI500</v>
          </cell>
          <cell r="L38" t="str">
            <v>KM10530</v>
          </cell>
          <cell r="M38">
            <v>2015</v>
          </cell>
          <cell r="N38">
            <v>0</v>
          </cell>
          <cell r="O38" t="str">
            <v>Transporte</v>
          </cell>
          <cell r="R38" t="str">
            <v>Trimestral</v>
          </cell>
        </row>
        <row r="39">
          <cell r="C39">
            <v>32</v>
          </cell>
          <cell r="D39" t="str">
            <v>2-116022</v>
          </cell>
          <cell r="E39" t="str">
            <v>Incubadora</v>
          </cell>
          <cell r="F39" t="str">
            <v>Neonatología</v>
          </cell>
          <cell r="G39" t="str">
            <v>UCI Neonatología</v>
          </cell>
          <cell r="H39" t="str">
            <v>UCI 7</v>
          </cell>
          <cell r="I39" t="str">
            <v>Arriendo</v>
          </cell>
          <cell r="J39" t="str">
            <v>DRAGER</v>
          </cell>
          <cell r="K39" t="str">
            <v>CALEO</v>
          </cell>
          <cell r="L39" t="str">
            <v>ASLB-0011</v>
          </cell>
          <cell r="M39">
            <v>2018</v>
          </cell>
          <cell r="N39">
            <v>3</v>
          </cell>
          <cell r="O39" t="str">
            <v>Fija</v>
          </cell>
          <cell r="R39" t="str">
            <v>Trimestral</v>
          </cell>
        </row>
        <row r="40">
          <cell r="C40">
            <v>33</v>
          </cell>
          <cell r="D40" t="str">
            <v>2-116017</v>
          </cell>
          <cell r="E40" t="str">
            <v>Incubadora</v>
          </cell>
          <cell r="F40" t="str">
            <v>Neonatología</v>
          </cell>
          <cell r="G40" t="str">
            <v>UCI Neonatología</v>
          </cell>
          <cell r="H40" t="str">
            <v>SALA EQUIPOS</v>
          </cell>
          <cell r="I40" t="str">
            <v>Arriendo</v>
          </cell>
          <cell r="J40" t="str">
            <v>DRAGER</v>
          </cell>
          <cell r="K40" t="str">
            <v>CALEO</v>
          </cell>
          <cell r="L40" t="str">
            <v>ASLB-0012</v>
          </cell>
          <cell r="M40">
            <v>2018</v>
          </cell>
          <cell r="N40">
            <v>3</v>
          </cell>
          <cell r="O40" t="str">
            <v>Fija</v>
          </cell>
          <cell r="R40" t="str">
            <v>Trimestral</v>
          </cell>
        </row>
        <row r="41">
          <cell r="C41">
            <v>34</v>
          </cell>
          <cell r="D41" t="str">
            <v>2-116021</v>
          </cell>
          <cell r="E41" t="str">
            <v>Incubadora</v>
          </cell>
          <cell r="F41" t="str">
            <v>Neonatología</v>
          </cell>
          <cell r="G41" t="str">
            <v>UCI Neonatología</v>
          </cell>
          <cell r="H41" t="str">
            <v>UTI 1/5</v>
          </cell>
          <cell r="I41" t="str">
            <v>Arriendo</v>
          </cell>
          <cell r="J41" t="str">
            <v>DRAGER</v>
          </cell>
          <cell r="K41" t="str">
            <v>CALEO</v>
          </cell>
          <cell r="L41" t="str">
            <v>ASLB-0013</v>
          </cell>
          <cell r="M41">
            <v>2018</v>
          </cell>
          <cell r="N41">
            <v>3</v>
          </cell>
          <cell r="O41" t="str">
            <v>Fija</v>
          </cell>
          <cell r="R41" t="str">
            <v>Trimestral</v>
          </cell>
        </row>
        <row r="42">
          <cell r="C42">
            <v>35</v>
          </cell>
          <cell r="D42" t="str">
            <v>2-116023</v>
          </cell>
          <cell r="E42" t="str">
            <v>Incubadora</v>
          </cell>
          <cell r="F42" t="str">
            <v>Neonatología</v>
          </cell>
          <cell r="G42" t="str">
            <v>UCI Neonatología</v>
          </cell>
          <cell r="H42" t="str">
            <v>UTI 1/3</v>
          </cell>
          <cell r="I42" t="str">
            <v>Arriendo</v>
          </cell>
          <cell r="J42" t="str">
            <v>DRAGER</v>
          </cell>
          <cell r="K42" t="str">
            <v>CALEO</v>
          </cell>
          <cell r="L42" t="str">
            <v>ASLB-0014</v>
          </cell>
          <cell r="M42">
            <v>2018</v>
          </cell>
          <cell r="N42">
            <v>3</v>
          </cell>
          <cell r="O42" t="str">
            <v>Fija</v>
          </cell>
          <cell r="R42" t="str">
            <v>Trimestral</v>
          </cell>
        </row>
        <row r="43">
          <cell r="C43">
            <v>36</v>
          </cell>
          <cell r="D43" t="str">
            <v>2-116020</v>
          </cell>
          <cell r="E43" t="str">
            <v>Incubadora</v>
          </cell>
          <cell r="F43" t="str">
            <v>Neonatología</v>
          </cell>
          <cell r="G43" t="str">
            <v>UCI Neonatología</v>
          </cell>
          <cell r="H43" t="str">
            <v>UTI 2/4</v>
          </cell>
          <cell r="I43" t="str">
            <v>Arriendo</v>
          </cell>
          <cell r="J43" t="str">
            <v>DRAGER</v>
          </cell>
          <cell r="K43" t="str">
            <v>CALEO</v>
          </cell>
          <cell r="L43" t="str">
            <v>ASLB-0015</v>
          </cell>
          <cell r="M43">
            <v>2018</v>
          </cell>
          <cell r="N43">
            <v>3</v>
          </cell>
          <cell r="O43" t="str">
            <v>Fija</v>
          </cell>
          <cell r="R43" t="str">
            <v>Trimestral</v>
          </cell>
        </row>
        <row r="44">
          <cell r="C44">
            <v>37</v>
          </cell>
          <cell r="D44" t="str">
            <v>2-115788</v>
          </cell>
          <cell r="E44" t="str">
            <v>Incubadora</v>
          </cell>
          <cell r="F44" t="str">
            <v>Neonatología</v>
          </cell>
          <cell r="G44" t="str">
            <v>UCI Neonatología</v>
          </cell>
          <cell r="H44" t="str">
            <v>SALA EQUIPOS</v>
          </cell>
          <cell r="I44" t="str">
            <v>Arriendo</v>
          </cell>
          <cell r="J44" t="str">
            <v>DRAGER</v>
          </cell>
          <cell r="K44" t="str">
            <v>CALEO</v>
          </cell>
          <cell r="L44" t="str">
            <v>ASJL-0039</v>
          </cell>
          <cell r="M44">
            <v>2018</v>
          </cell>
          <cell r="N44">
            <v>3</v>
          </cell>
          <cell r="O44" t="str">
            <v>Fija</v>
          </cell>
          <cell r="R44" t="str">
            <v>Trimestral</v>
          </cell>
        </row>
        <row r="45">
          <cell r="C45">
            <v>38</v>
          </cell>
          <cell r="D45" t="str">
            <v>2-115787</v>
          </cell>
          <cell r="E45" t="str">
            <v>Incubadora</v>
          </cell>
          <cell r="F45" t="str">
            <v>Neonatología</v>
          </cell>
          <cell r="G45" t="str">
            <v>UCI Neonatología</v>
          </cell>
          <cell r="H45" t="str">
            <v>UTI 1/1</v>
          </cell>
          <cell r="I45" t="str">
            <v>Arriendo</v>
          </cell>
          <cell r="J45" t="str">
            <v>DRAGER</v>
          </cell>
          <cell r="K45" t="str">
            <v>CALEO</v>
          </cell>
          <cell r="L45" t="str">
            <v>ASJL-0015</v>
          </cell>
          <cell r="M45">
            <v>2018</v>
          </cell>
          <cell r="N45">
            <v>3</v>
          </cell>
          <cell r="O45" t="str">
            <v>Fija</v>
          </cell>
          <cell r="R45" t="str">
            <v>Trimestral</v>
          </cell>
        </row>
        <row r="46">
          <cell r="C46">
            <v>39</v>
          </cell>
          <cell r="D46" t="str">
            <v>2-115785</v>
          </cell>
          <cell r="E46" t="str">
            <v>Incubadora</v>
          </cell>
          <cell r="F46" t="str">
            <v>Neonatología</v>
          </cell>
          <cell r="G46" t="str">
            <v>UCI Neonatología</v>
          </cell>
          <cell r="H46" t="str">
            <v>UCI 8</v>
          </cell>
          <cell r="I46" t="str">
            <v>Arriendo</v>
          </cell>
          <cell r="J46" t="str">
            <v>DRAGER</v>
          </cell>
          <cell r="K46" t="str">
            <v>CALEO</v>
          </cell>
          <cell r="L46" t="str">
            <v>ASJL-0007</v>
          </cell>
          <cell r="M46">
            <v>2018</v>
          </cell>
          <cell r="N46">
            <v>3</v>
          </cell>
          <cell r="O46" t="str">
            <v>Fija</v>
          </cell>
          <cell r="Q46" t="str">
            <v>equipo operativo</v>
          </cell>
          <cell r="R46" t="str">
            <v>Trimestral</v>
          </cell>
        </row>
        <row r="47">
          <cell r="C47">
            <v>40</v>
          </cell>
          <cell r="D47" t="str">
            <v>2-115784</v>
          </cell>
          <cell r="E47" t="str">
            <v>Incubadora</v>
          </cell>
          <cell r="F47" t="str">
            <v>Neonatología</v>
          </cell>
          <cell r="G47" t="str">
            <v>UCI Neonatología</v>
          </cell>
          <cell r="H47" t="str">
            <v>UCI 11</v>
          </cell>
          <cell r="I47" t="str">
            <v>Arriendo</v>
          </cell>
          <cell r="J47" t="str">
            <v>DRAGER</v>
          </cell>
          <cell r="K47" t="str">
            <v>CALEO</v>
          </cell>
          <cell r="L47" t="str">
            <v>ASJL-0006</v>
          </cell>
          <cell r="M47">
            <v>2018</v>
          </cell>
          <cell r="N47">
            <v>3</v>
          </cell>
          <cell r="O47" t="str">
            <v>Fija</v>
          </cell>
          <cell r="R47" t="str">
            <v>Trimestral</v>
          </cell>
        </row>
        <row r="48">
          <cell r="C48">
            <v>41</v>
          </cell>
          <cell r="D48" t="str">
            <v>2-115786</v>
          </cell>
          <cell r="E48" t="str">
            <v>Incubadora</v>
          </cell>
          <cell r="F48" t="str">
            <v>Neonatología</v>
          </cell>
          <cell r="G48" t="str">
            <v>UCI Neonatología</v>
          </cell>
          <cell r="H48" t="str">
            <v>UTI 2/1</v>
          </cell>
          <cell r="I48" t="str">
            <v>Arriendo</v>
          </cell>
          <cell r="J48" t="str">
            <v>DRAGER</v>
          </cell>
          <cell r="K48" t="str">
            <v>CALEO</v>
          </cell>
          <cell r="L48" t="str">
            <v>ASJL-0013</v>
          </cell>
          <cell r="M48">
            <v>2018</v>
          </cell>
          <cell r="N48">
            <v>3</v>
          </cell>
          <cell r="O48" t="str">
            <v>Fija</v>
          </cell>
          <cell r="R48" t="str">
            <v>Trimestral</v>
          </cell>
        </row>
        <row r="49">
          <cell r="C49">
            <v>1</v>
          </cell>
          <cell r="D49" t="str">
            <v>2-027365</v>
          </cell>
          <cell r="E49" t="str">
            <v>Desfibrilador</v>
          </cell>
          <cell r="F49" t="str">
            <v>Cardiología</v>
          </cell>
          <cell r="G49" t="str">
            <v>CDT Módulo C</v>
          </cell>
          <cell r="H49" t="str">
            <v>BOX 15</v>
          </cell>
          <cell r="I49" t="str">
            <v>Adquirido</v>
          </cell>
          <cell r="J49" t="str">
            <v xml:space="preserve">General Electric </v>
          </cell>
          <cell r="K49" t="str">
            <v xml:space="preserve">Cardio Serv </v>
          </cell>
          <cell r="L49">
            <v>101050759</v>
          </cell>
          <cell r="M49">
            <v>2002</v>
          </cell>
          <cell r="N49">
            <v>-13</v>
          </cell>
          <cell r="Q49" t="str">
            <v>Equipo es dado de baja 14-01-25, por termino de su vida util.</v>
          </cell>
          <cell r="R49" t="str">
            <v>Semestral</v>
          </cell>
        </row>
        <row r="50">
          <cell r="C50">
            <v>2</v>
          </cell>
          <cell r="D50" t="str">
            <v>2-024223</v>
          </cell>
          <cell r="E50" t="str">
            <v>Desfibrilador</v>
          </cell>
          <cell r="F50" t="str">
            <v>Pabellón (Hemodinamia)</v>
          </cell>
          <cell r="G50" t="str">
            <v xml:space="preserve">Hemodinamia </v>
          </cell>
          <cell r="H50" t="str">
            <v>Pabellón 2Piso</v>
          </cell>
          <cell r="I50" t="str">
            <v>Adquirido</v>
          </cell>
          <cell r="J50" t="str">
            <v xml:space="preserve">Zoll </v>
          </cell>
          <cell r="K50" t="str">
            <v>R SERIES ALS</v>
          </cell>
          <cell r="L50" t="str">
            <v>AF12B020910</v>
          </cell>
          <cell r="M50">
            <v>2012</v>
          </cell>
          <cell r="N50">
            <v>-3</v>
          </cell>
          <cell r="R50" t="str">
            <v>Semestral</v>
          </cell>
        </row>
        <row r="51">
          <cell r="C51">
            <v>3</v>
          </cell>
          <cell r="D51" t="str">
            <v>2-112264</v>
          </cell>
          <cell r="E51" t="str">
            <v>Desfibrilador</v>
          </cell>
          <cell r="F51" t="str">
            <v>UPC Adulto</v>
          </cell>
          <cell r="G51" t="str">
            <v>UCI Adulto</v>
          </cell>
          <cell r="H51" t="str">
            <v>UPC-P2-SA14</v>
          </cell>
          <cell r="I51" t="str">
            <v>Adquirido</v>
          </cell>
          <cell r="J51" t="str">
            <v xml:space="preserve">Zoll </v>
          </cell>
          <cell r="K51" t="str">
            <v>R SERIES ALS</v>
          </cell>
          <cell r="L51" t="str">
            <v>AF10H011856</v>
          </cell>
          <cell r="M51">
            <v>2012</v>
          </cell>
          <cell r="N51">
            <v>-3</v>
          </cell>
          <cell r="Q51" t="str">
            <v>28-08-25 se realiza cambio de bateria</v>
          </cell>
          <cell r="R51" t="str">
            <v>Semestral</v>
          </cell>
        </row>
        <row r="52">
          <cell r="C52">
            <v>4</v>
          </cell>
          <cell r="D52" t="str">
            <v>2-013518</v>
          </cell>
          <cell r="E52" t="str">
            <v>Desfibrilador</v>
          </cell>
          <cell r="F52" t="str">
            <v>Medicina (Prestado a Medicina cardiovascular)</v>
          </cell>
          <cell r="G52" t="str">
            <v>Medicina Cardiovascular</v>
          </cell>
          <cell r="H52" t="str">
            <v>Zócalo</v>
          </cell>
          <cell r="I52" t="str">
            <v>Adquirido</v>
          </cell>
          <cell r="J52" t="str">
            <v>Nihon Kohden</v>
          </cell>
          <cell r="K52" t="str">
            <v>TEC 5531E</v>
          </cell>
          <cell r="L52" t="str">
            <v>01816</v>
          </cell>
          <cell r="M52">
            <v>2009</v>
          </cell>
          <cell r="N52">
            <v>-6</v>
          </cell>
          <cell r="Q52" t="str">
            <v>trazabilidad. Se recomienda cambio de palas 23-02-25</v>
          </cell>
          <cell r="R52" t="str">
            <v>Semestral</v>
          </cell>
        </row>
        <row r="53">
          <cell r="C53">
            <v>5</v>
          </cell>
          <cell r="D53" t="str">
            <v>2-117973</v>
          </cell>
          <cell r="E53" t="str">
            <v>DEA</v>
          </cell>
          <cell r="F53" t="str">
            <v>Gestión de Pacientes</v>
          </cell>
          <cell r="G53" t="str">
            <v>Gestión de Pacientes</v>
          </cell>
          <cell r="H53" t="str">
            <v>Gestión de Pacientes</v>
          </cell>
          <cell r="I53" t="str">
            <v>Adquirido</v>
          </cell>
          <cell r="J53" t="str">
            <v>Zoll</v>
          </cell>
          <cell r="K53" t="str">
            <v>AEDPLUS</v>
          </cell>
          <cell r="L53" t="str">
            <v>X18E028657</v>
          </cell>
          <cell r="M53">
            <v>2022</v>
          </cell>
          <cell r="N53">
            <v>7</v>
          </cell>
          <cell r="R53" t="str">
            <v>Mensual (diaria)</v>
          </cell>
        </row>
        <row r="54">
          <cell r="C54">
            <v>6</v>
          </cell>
          <cell r="D54" t="str">
            <v>121010-024575</v>
          </cell>
          <cell r="E54" t="str">
            <v>DEA</v>
          </cell>
          <cell r="F54" t="str">
            <v>Unidad Evaluación Paciente Imputado</v>
          </cell>
          <cell r="G54" t="str">
            <v>UEPI</v>
          </cell>
          <cell r="H54" t="str">
            <v>UEPI-103</v>
          </cell>
          <cell r="I54" t="str">
            <v>Adquirido</v>
          </cell>
          <cell r="J54" t="str">
            <v>Nihon Kohden</v>
          </cell>
          <cell r="K54" t="str">
            <v>AED-3100</v>
          </cell>
          <cell r="L54">
            <v>13042</v>
          </cell>
          <cell r="M54">
            <v>2020</v>
          </cell>
          <cell r="N54">
            <v>5</v>
          </cell>
          <cell r="Q54" t="str">
            <v>con fecha 29-05-2025 se reemplaza bateria quedando el equipo operativo</v>
          </cell>
          <cell r="R54" t="str">
            <v>Semestral</v>
          </cell>
        </row>
        <row r="55">
          <cell r="C55">
            <v>7</v>
          </cell>
          <cell r="D55" t="str">
            <v>2-134465</v>
          </cell>
          <cell r="E55" t="str">
            <v>DEA</v>
          </cell>
          <cell r="F55" t="str">
            <v>SAMU</v>
          </cell>
          <cell r="G55" t="str">
            <v>SAMU</v>
          </cell>
          <cell r="H55" t="str">
            <v>Ambulancia</v>
          </cell>
          <cell r="I55" t="str">
            <v>Adquirido</v>
          </cell>
          <cell r="J55" t="str">
            <v>Mindray</v>
          </cell>
          <cell r="K55" t="str">
            <v>BeneHeart C1A</v>
          </cell>
          <cell r="L55" t="str">
            <v>AF1-48110851</v>
          </cell>
          <cell r="M55">
            <v>2025</v>
          </cell>
          <cell r="N55">
            <v>10</v>
          </cell>
          <cell r="R55" t="str">
            <v>Semestral</v>
          </cell>
        </row>
        <row r="56">
          <cell r="C56">
            <v>8</v>
          </cell>
          <cell r="D56" t="str">
            <v>2-112265</v>
          </cell>
          <cell r="E56" t="str">
            <v>Desfibrilador</v>
          </cell>
          <cell r="F56" t="str">
            <v>Urgencia Infantil</v>
          </cell>
          <cell r="G56" t="str">
            <v>Urgencia Infantil</v>
          </cell>
          <cell r="H56" t="str">
            <v>SUI sala IRA</v>
          </cell>
          <cell r="I56" t="str">
            <v>Adquirido</v>
          </cell>
          <cell r="J56" t="str">
            <v>Nihon Kohden</v>
          </cell>
          <cell r="K56" t="str">
            <v>TEC 5531E</v>
          </cell>
          <cell r="L56" t="str">
            <v>00888</v>
          </cell>
          <cell r="M56">
            <v>2009</v>
          </cell>
          <cell r="N56">
            <v>-6</v>
          </cell>
          <cell r="Q56" t="str">
            <v>Equipo en fuera de servicio, se gestiona la compra de accesorios informe 757 ST</v>
          </cell>
          <cell r="R56" t="str">
            <v>Semestral</v>
          </cell>
        </row>
        <row r="57">
          <cell r="C57">
            <v>9</v>
          </cell>
          <cell r="D57" t="str">
            <v>2-112266</v>
          </cell>
          <cell r="E57" t="str">
            <v>Desfibrilador</v>
          </cell>
          <cell r="F57" t="str">
            <v>Endoscopía</v>
          </cell>
          <cell r="G57" t="str">
            <v>Endoscopía</v>
          </cell>
          <cell r="H57" t="str">
            <v>CDT-P1-SA06</v>
          </cell>
          <cell r="I57" t="str">
            <v>Adquirido</v>
          </cell>
          <cell r="J57" t="str">
            <v>Zoll</v>
          </cell>
          <cell r="K57" t="str">
            <v>R SERIES ALS</v>
          </cell>
          <cell r="L57" t="str">
            <v>AF12B020988</v>
          </cell>
          <cell r="M57">
            <v>2012</v>
          </cell>
          <cell r="N57">
            <v>-3</v>
          </cell>
          <cell r="R57" t="str">
            <v>Semestral</v>
          </cell>
        </row>
        <row r="58">
          <cell r="C58">
            <v>10</v>
          </cell>
          <cell r="D58" t="str">
            <v>2-112267</v>
          </cell>
          <cell r="E58" t="str">
            <v>Desfibrilador</v>
          </cell>
          <cell r="F58" t="str">
            <v>UPC Adulto</v>
          </cell>
          <cell r="G58" t="str">
            <v>UCI Adulto</v>
          </cell>
          <cell r="H58" t="str">
            <v>UCI D</v>
          </cell>
          <cell r="I58" t="str">
            <v>Adquirido</v>
          </cell>
          <cell r="J58" t="str">
            <v>Nihon Kohden</v>
          </cell>
          <cell r="K58" t="str">
            <v>TEC 5531E</v>
          </cell>
          <cell r="L58" t="str">
            <v>00889</v>
          </cell>
          <cell r="M58">
            <v>2007</v>
          </cell>
          <cell r="N58">
            <v>-8</v>
          </cell>
          <cell r="Q58" t="str">
            <v>Equipo con cables rotos de paletas, equipo fuera de servicio ST 1-20507</v>
          </cell>
          <cell r="R58" t="str">
            <v>Semestral</v>
          </cell>
        </row>
        <row r="59">
          <cell r="C59">
            <v>11</v>
          </cell>
          <cell r="D59" t="str">
            <v>2-023059</v>
          </cell>
          <cell r="E59" t="str">
            <v>Desfibrilador</v>
          </cell>
          <cell r="F59" t="str">
            <v>Pediatría</v>
          </cell>
          <cell r="G59" t="str">
            <v>Pediatría Segunda Infancia</v>
          </cell>
          <cell r="H59" t="str">
            <v>Pediatréa EPA</v>
          </cell>
          <cell r="I59" t="str">
            <v>Adquirido</v>
          </cell>
          <cell r="J59" t="str">
            <v>Nihon Kohden</v>
          </cell>
          <cell r="K59" t="str">
            <v>TEC 5531E</v>
          </cell>
          <cell r="L59" t="str">
            <v>00039</v>
          </cell>
          <cell r="M59">
            <v>2005</v>
          </cell>
          <cell r="N59">
            <v>-10</v>
          </cell>
          <cell r="R59" t="str">
            <v>Semestral</v>
          </cell>
        </row>
        <row r="60">
          <cell r="C60">
            <v>12</v>
          </cell>
          <cell r="D60" t="str">
            <v>2-112268</v>
          </cell>
          <cell r="E60" t="str">
            <v>Desfibrilador</v>
          </cell>
          <cell r="F60" t="str">
            <v>Pabellones Gineco-Obstétricos</v>
          </cell>
          <cell r="G60" t="str">
            <v>Pabellones Gineco-Obstétricos</v>
          </cell>
          <cell r="H60" t="str">
            <v>Pabellón Urgencia Obstétrica</v>
          </cell>
          <cell r="I60" t="str">
            <v>Adquirido</v>
          </cell>
          <cell r="J60" t="str">
            <v>Zoll</v>
          </cell>
          <cell r="K60" t="str">
            <v xml:space="preserve">M SERIES </v>
          </cell>
          <cell r="L60" t="str">
            <v>T03K52786</v>
          </cell>
          <cell r="M60">
            <v>2005</v>
          </cell>
          <cell r="N60">
            <v>-10</v>
          </cell>
          <cell r="R60" t="str">
            <v>Semestral</v>
          </cell>
        </row>
        <row r="61">
          <cell r="C61">
            <v>13</v>
          </cell>
          <cell r="D61" t="str">
            <v>2-015926</v>
          </cell>
          <cell r="E61" t="str">
            <v>Desfibrilador</v>
          </cell>
          <cell r="F61" t="str">
            <v>Pabellones Gineco-Obstétricos</v>
          </cell>
          <cell r="G61" t="str">
            <v>Recuperación Partos</v>
          </cell>
          <cell r="H61" t="str">
            <v>Recuperación Partos</v>
          </cell>
          <cell r="I61" t="str">
            <v>Adquirido</v>
          </cell>
          <cell r="J61" t="str">
            <v>Medtronic</v>
          </cell>
          <cell r="K61" t="str">
            <v>Lifepack 20</v>
          </cell>
          <cell r="L61">
            <v>40676147</v>
          </cell>
          <cell r="M61">
            <v>2012</v>
          </cell>
          <cell r="N61">
            <v>-3</v>
          </cell>
          <cell r="R61" t="str">
            <v>Semestral</v>
          </cell>
        </row>
        <row r="62">
          <cell r="C62">
            <v>14</v>
          </cell>
          <cell r="D62" t="str">
            <v>2-021577</v>
          </cell>
          <cell r="E62" t="str">
            <v>Desfibrilador</v>
          </cell>
          <cell r="F62" t="str">
            <v>Cirugía Adulto</v>
          </cell>
          <cell r="G62" t="str">
            <v>Bodega Escritorio</v>
          </cell>
          <cell r="H62" t="str">
            <v>Bodega escritorio</v>
          </cell>
          <cell r="I62" t="str">
            <v>Adquirido</v>
          </cell>
          <cell r="J62" t="str">
            <v>Medtronic</v>
          </cell>
          <cell r="K62" t="str">
            <v>Lifepack 20</v>
          </cell>
          <cell r="L62" t="str">
            <v>39322210</v>
          </cell>
          <cell r="M62">
            <v>2010</v>
          </cell>
          <cell r="N62">
            <v>-5</v>
          </cell>
          <cell r="Q62" t="str">
            <v>01-12-2025 se entrega cable de alimentación nuevo</v>
          </cell>
          <cell r="R62" t="str">
            <v>Semestral</v>
          </cell>
        </row>
        <row r="63">
          <cell r="C63">
            <v>15</v>
          </cell>
          <cell r="D63" t="str">
            <v>2-017416</v>
          </cell>
          <cell r="E63" t="str">
            <v>Desfibrilador</v>
          </cell>
          <cell r="F63" t="str">
            <v>Pabellón Quirúrgico</v>
          </cell>
          <cell r="G63" t="str">
            <v xml:space="preserve">Pabellón Central </v>
          </cell>
          <cell r="H63" t="str">
            <v>CDT-P2-PA05</v>
          </cell>
          <cell r="I63" t="str">
            <v>Adquirido</v>
          </cell>
          <cell r="J63" t="str">
            <v>Nihon Kohden</v>
          </cell>
          <cell r="K63" t="str">
            <v>TEC 5531E</v>
          </cell>
          <cell r="L63" t="str">
            <v>00880</v>
          </cell>
          <cell r="M63">
            <v>2007</v>
          </cell>
          <cell r="N63">
            <v>-8</v>
          </cell>
          <cell r="Q63" t="str">
            <v>trazabilidad. Se recomienda reemplazo de bateria</v>
          </cell>
          <cell r="R63" t="str">
            <v>Semestral</v>
          </cell>
        </row>
        <row r="64">
          <cell r="C64">
            <v>16</v>
          </cell>
          <cell r="D64" t="str">
            <v>2-024411</v>
          </cell>
          <cell r="E64" t="str">
            <v>Desfibrilador</v>
          </cell>
          <cell r="F64" t="str">
            <v>Pabellón Quirúrgico</v>
          </cell>
          <cell r="G64" t="str">
            <v xml:space="preserve">Pabellón Central </v>
          </cell>
          <cell r="H64" t="str">
            <v>CDT-P2-PA05</v>
          </cell>
          <cell r="I64" t="str">
            <v>Adquirido</v>
          </cell>
          <cell r="J64" t="str">
            <v>Nihon Kohden</v>
          </cell>
          <cell r="K64" t="str">
            <v>TEC 5531E</v>
          </cell>
          <cell r="L64" t="str">
            <v>00885</v>
          </cell>
          <cell r="M64">
            <v>2007</v>
          </cell>
          <cell r="N64">
            <v>-8</v>
          </cell>
          <cell r="Q64" t="str">
            <v>trazabilidad. Se recomienda reemplazo de bateria</v>
          </cell>
          <cell r="R64" t="str">
            <v>Semestral</v>
          </cell>
        </row>
        <row r="65">
          <cell r="C65">
            <v>17</v>
          </cell>
          <cell r="D65" t="str">
            <v>2-112269</v>
          </cell>
          <cell r="E65" t="str">
            <v>Desfibrilador</v>
          </cell>
          <cell r="F65" t="str">
            <v>Pabellón CMA</v>
          </cell>
          <cell r="G65" t="str">
            <v>Pabellón CMA</v>
          </cell>
          <cell r="I65" t="str">
            <v>Adquirido</v>
          </cell>
          <cell r="J65" t="str">
            <v>Nihon Kohden</v>
          </cell>
          <cell r="K65" t="str">
            <v>TEC 5531E</v>
          </cell>
          <cell r="L65" t="str">
            <v>01818</v>
          </cell>
          <cell r="M65">
            <v>2009</v>
          </cell>
          <cell r="N65">
            <v>-6</v>
          </cell>
          <cell r="Q65" t="str">
            <v>Equipo descarga el doble de J configurado ST 19-21312</v>
          </cell>
          <cell r="R65" t="str">
            <v>Semestral</v>
          </cell>
        </row>
        <row r="66">
          <cell r="C66">
            <v>18</v>
          </cell>
          <cell r="D66" t="str">
            <v>2-013928</v>
          </cell>
          <cell r="E66" t="str">
            <v>Desfibrilador</v>
          </cell>
          <cell r="F66" t="str">
            <v>Pabellón CMA</v>
          </cell>
          <cell r="G66" t="str">
            <v>Recuperación CMA</v>
          </cell>
          <cell r="I66" t="str">
            <v>Adquirido</v>
          </cell>
          <cell r="J66" t="str">
            <v>Nihon Kohden</v>
          </cell>
          <cell r="K66" t="str">
            <v>TEC 5531E</v>
          </cell>
          <cell r="L66" t="str">
            <v>00887</v>
          </cell>
          <cell r="M66">
            <v>2005</v>
          </cell>
          <cell r="N66">
            <v>-10</v>
          </cell>
          <cell r="R66" t="str">
            <v>Semestral</v>
          </cell>
        </row>
        <row r="67">
          <cell r="C67">
            <v>19</v>
          </cell>
          <cell r="D67" t="str">
            <v>2-017028</v>
          </cell>
          <cell r="E67" t="str">
            <v>Desfibrilador</v>
          </cell>
          <cell r="F67" t="str">
            <v>Psiquiatría</v>
          </cell>
          <cell r="G67" t="str">
            <v>Psiquiatría Adulto</v>
          </cell>
          <cell r="H67" t="str">
            <v>CDT-P1-SA32</v>
          </cell>
          <cell r="I67" t="str">
            <v>Adquirido</v>
          </cell>
          <cell r="J67" t="str">
            <v>Nihon Kohden</v>
          </cell>
          <cell r="K67" t="str">
            <v>TEC 5531E</v>
          </cell>
          <cell r="L67" t="str">
            <v>00876</v>
          </cell>
          <cell r="M67">
            <v>2007</v>
          </cell>
          <cell r="N67">
            <v>-8</v>
          </cell>
          <cell r="R67" t="str">
            <v>Semestral</v>
          </cell>
        </row>
        <row r="68">
          <cell r="C68">
            <v>20</v>
          </cell>
          <cell r="D68" t="str">
            <v>2-017177</v>
          </cell>
          <cell r="E68" t="str">
            <v>Desfibrilador</v>
          </cell>
          <cell r="F68" t="str">
            <v>Psiquiatría</v>
          </cell>
          <cell r="G68" t="str">
            <v>Psiquiatría Infantil</v>
          </cell>
          <cell r="H68" t="str">
            <v>CDT-P2-E.E02</v>
          </cell>
          <cell r="I68" t="str">
            <v>Adquirido</v>
          </cell>
          <cell r="J68" t="str">
            <v>Nihon Kohden</v>
          </cell>
          <cell r="K68" t="str">
            <v>TEC 5521E</v>
          </cell>
          <cell r="L68" t="str">
            <v>00795</v>
          </cell>
          <cell r="M68">
            <v>2007</v>
          </cell>
          <cell r="N68">
            <v>-8</v>
          </cell>
          <cell r="R68" t="str">
            <v>Semestral</v>
          </cell>
        </row>
        <row r="69">
          <cell r="C69">
            <v>21</v>
          </cell>
          <cell r="D69" t="str">
            <v>2-024493</v>
          </cell>
          <cell r="E69" t="str">
            <v>Desfibrilador</v>
          </cell>
          <cell r="F69" t="str">
            <v>Imagenología</v>
          </cell>
          <cell r="G69" t="str">
            <v xml:space="preserve">Imagenología </v>
          </cell>
          <cell r="H69" t="str">
            <v>Scanner</v>
          </cell>
          <cell r="I69" t="str">
            <v>Adquirido</v>
          </cell>
          <cell r="J69" t="str">
            <v>Nihon Kohden</v>
          </cell>
          <cell r="K69" t="str">
            <v>TEC 5521E</v>
          </cell>
          <cell r="L69" t="str">
            <v>00790</v>
          </cell>
          <cell r="M69">
            <v>2007</v>
          </cell>
          <cell r="N69">
            <v>-8</v>
          </cell>
          <cell r="R69" t="str">
            <v>Semestral</v>
          </cell>
        </row>
        <row r="70">
          <cell r="C70">
            <v>22</v>
          </cell>
          <cell r="D70" t="str">
            <v>2-112287</v>
          </cell>
          <cell r="E70" t="str">
            <v>Desfibrilador</v>
          </cell>
          <cell r="F70" t="str">
            <v>Imagenología</v>
          </cell>
          <cell r="G70" t="str">
            <v xml:space="preserve">Imagenología </v>
          </cell>
          <cell r="H70" t="str">
            <v>Angiógrafo</v>
          </cell>
          <cell r="I70" t="str">
            <v>Adquirido</v>
          </cell>
          <cell r="J70" t="str">
            <v>Nihon Kohden</v>
          </cell>
          <cell r="K70" t="str">
            <v>TEC 5521E</v>
          </cell>
          <cell r="L70" t="str">
            <v>00083</v>
          </cell>
          <cell r="M70">
            <v>2007</v>
          </cell>
          <cell r="N70">
            <v>-8</v>
          </cell>
          <cell r="R70" t="str">
            <v>Semestral</v>
          </cell>
        </row>
        <row r="71">
          <cell r="C71">
            <v>23</v>
          </cell>
          <cell r="D71" t="str">
            <v>2-002720</v>
          </cell>
          <cell r="E71" t="str">
            <v>Desfibrilador</v>
          </cell>
          <cell r="F71" t="str">
            <v>Traumatología</v>
          </cell>
          <cell r="G71" t="str">
            <v>Traumatología</v>
          </cell>
          <cell r="H71" t="str">
            <v>Cirugía Trauma</v>
          </cell>
          <cell r="I71" t="str">
            <v>Adquirido</v>
          </cell>
          <cell r="J71" t="str">
            <v>Nihon Kohden</v>
          </cell>
          <cell r="K71" t="str">
            <v>TEC 5531E</v>
          </cell>
          <cell r="L71" t="str">
            <v>01811</v>
          </cell>
          <cell r="M71">
            <v>2009</v>
          </cell>
          <cell r="N71">
            <v>-6</v>
          </cell>
          <cell r="R71" t="str">
            <v>Semestral</v>
          </cell>
        </row>
        <row r="72">
          <cell r="C72">
            <v>24</v>
          </cell>
          <cell r="D72" t="str">
            <v>2-013295</v>
          </cell>
          <cell r="E72" t="str">
            <v>Desfibrilador</v>
          </cell>
          <cell r="F72" t="str">
            <v>Neurocirugía</v>
          </cell>
          <cell r="G72" t="str">
            <v>Neurocirugía</v>
          </cell>
          <cell r="H72" t="str">
            <v>Sala 298</v>
          </cell>
          <cell r="I72" t="str">
            <v>Adquirido</v>
          </cell>
          <cell r="J72" t="str">
            <v>Nihon Kohden</v>
          </cell>
          <cell r="K72" t="str">
            <v>TEC 5521E</v>
          </cell>
          <cell r="L72" t="str">
            <v>01076</v>
          </cell>
          <cell r="M72">
            <v>2008</v>
          </cell>
          <cell r="N72">
            <v>-7</v>
          </cell>
          <cell r="R72" t="str">
            <v>Semestral</v>
          </cell>
        </row>
        <row r="73">
          <cell r="C73">
            <v>25</v>
          </cell>
          <cell r="D73" t="str">
            <v>2-003576</v>
          </cell>
          <cell r="E73" t="str">
            <v>Desfibrilador</v>
          </cell>
          <cell r="F73" t="str">
            <v>Cirugía Adulto</v>
          </cell>
          <cell r="G73" t="str">
            <v>Cirugía Adulto - Piso 3</v>
          </cell>
          <cell r="H73" t="str">
            <v>EPC</v>
          </cell>
          <cell r="I73" t="str">
            <v>Adquirido</v>
          </cell>
          <cell r="J73" t="str">
            <v>Nihon Kohden</v>
          </cell>
          <cell r="K73" t="str">
            <v>TEC 5531E</v>
          </cell>
          <cell r="L73" t="str">
            <v>01815</v>
          </cell>
          <cell r="M73">
            <v>2009</v>
          </cell>
          <cell r="N73">
            <v>-6</v>
          </cell>
          <cell r="R73" t="str">
            <v>Semestral</v>
          </cell>
        </row>
        <row r="74">
          <cell r="C74">
            <v>26</v>
          </cell>
          <cell r="D74" t="str">
            <v>2-021802</v>
          </cell>
          <cell r="E74" t="str">
            <v>Desfibrilador</v>
          </cell>
          <cell r="F74" t="str">
            <v>UPC 3er Piso</v>
          </cell>
          <cell r="G74" t="str">
            <v>UTI 3er Piso</v>
          </cell>
          <cell r="H74" t="str">
            <v>Carro de paro</v>
          </cell>
          <cell r="I74" t="str">
            <v>Adquirido</v>
          </cell>
          <cell r="J74" t="str">
            <v>Nihon Kohden</v>
          </cell>
          <cell r="K74" t="str">
            <v>TEC 5531E</v>
          </cell>
          <cell r="L74" t="str">
            <v>01810</v>
          </cell>
          <cell r="M74">
            <v>2010</v>
          </cell>
          <cell r="N74">
            <v>-5</v>
          </cell>
          <cell r="R74" t="str">
            <v>Semestral</v>
          </cell>
        </row>
        <row r="75">
          <cell r="C75">
            <v>27</v>
          </cell>
          <cell r="D75" t="str">
            <v>2-004033</v>
          </cell>
          <cell r="E75" t="str">
            <v>Desfibrilador</v>
          </cell>
          <cell r="F75" t="str">
            <v>Ginecología</v>
          </cell>
          <cell r="G75" t="str">
            <v>Ginecología</v>
          </cell>
          <cell r="I75" t="str">
            <v>Adquirido</v>
          </cell>
          <cell r="J75" t="str">
            <v xml:space="preserve">Zoll </v>
          </cell>
          <cell r="K75" t="str">
            <v>R SERIES ALS</v>
          </cell>
          <cell r="L75" t="str">
            <v>AF10H011861</v>
          </cell>
          <cell r="M75">
            <v>2012</v>
          </cell>
          <cell r="N75">
            <v>-3</v>
          </cell>
          <cell r="Q75" t="str">
            <v>25-11-2025 se cambia cable troncal y ECG, se cambia bateria</v>
          </cell>
          <cell r="R75" t="str">
            <v>Semestral</v>
          </cell>
        </row>
        <row r="76">
          <cell r="C76">
            <v>28</v>
          </cell>
          <cell r="D76" t="str">
            <v>2-027959</v>
          </cell>
          <cell r="E76" t="str">
            <v>Desfibrilador</v>
          </cell>
          <cell r="F76" t="str">
            <v>Neonatología</v>
          </cell>
          <cell r="G76" t="str">
            <v>UCI Neonatología</v>
          </cell>
          <cell r="I76" t="str">
            <v>Adquirido</v>
          </cell>
          <cell r="J76" t="str">
            <v xml:space="preserve">Zoll </v>
          </cell>
          <cell r="K76" t="str">
            <v>R SERIES ALS</v>
          </cell>
          <cell r="L76" t="str">
            <v>AF10G011487</v>
          </cell>
          <cell r="M76">
            <v>2012</v>
          </cell>
          <cell r="N76">
            <v>-3</v>
          </cell>
          <cell r="R76" t="str">
            <v>Semestral</v>
          </cell>
        </row>
        <row r="77">
          <cell r="C77">
            <v>29</v>
          </cell>
          <cell r="D77" t="str">
            <v>2-135456</v>
          </cell>
          <cell r="E77" t="str">
            <v>Desfibrilador</v>
          </cell>
          <cell r="F77" t="str">
            <v>Imagenología</v>
          </cell>
          <cell r="G77" t="str">
            <v xml:space="preserve">Imagenología </v>
          </cell>
          <cell r="H77" t="str">
            <v>Angiógrafo</v>
          </cell>
          <cell r="I77" t="str">
            <v>Compra</v>
          </cell>
          <cell r="J77" t="str">
            <v>Nihon Kohden</v>
          </cell>
          <cell r="K77" t="str">
            <v>TEC-5631</v>
          </cell>
          <cell r="L77" t="str">
            <v>07900</v>
          </cell>
          <cell r="M77">
            <v>2025</v>
          </cell>
          <cell r="R77" t="str">
            <v>Semestral</v>
          </cell>
        </row>
        <row r="78">
          <cell r="C78">
            <v>30</v>
          </cell>
          <cell r="D78" t="str">
            <v>2-022181</v>
          </cell>
          <cell r="E78" t="str">
            <v>Desfibrilador</v>
          </cell>
          <cell r="F78" t="str">
            <v>Quimioterapia Ambulatoria Adulto</v>
          </cell>
          <cell r="G78" t="str">
            <v>QMT Ambulatoria Adulto</v>
          </cell>
          <cell r="H78" t="str">
            <v>EPC-P2</v>
          </cell>
          <cell r="I78" t="str">
            <v>Adquirido</v>
          </cell>
          <cell r="J78" t="str">
            <v xml:space="preserve">Zoll </v>
          </cell>
          <cell r="K78" t="str">
            <v>R SERIES ALS</v>
          </cell>
          <cell r="L78" t="str">
            <v>AF12B020977</v>
          </cell>
          <cell r="M78">
            <v>2011</v>
          </cell>
          <cell r="N78">
            <v>-4</v>
          </cell>
          <cell r="R78" t="str">
            <v>Semestral</v>
          </cell>
        </row>
        <row r="79">
          <cell r="C79">
            <v>31</v>
          </cell>
          <cell r="D79" t="str">
            <v>2-112270</v>
          </cell>
          <cell r="E79" t="str">
            <v>Desfibrilador</v>
          </cell>
          <cell r="F79" t="str">
            <v>Pediatría</v>
          </cell>
          <cell r="G79" t="str">
            <v>Pediatría Oncológica</v>
          </cell>
          <cell r="H79" t="str">
            <v>Carro de paro</v>
          </cell>
          <cell r="I79" t="str">
            <v>Adquirido</v>
          </cell>
          <cell r="J79" t="str">
            <v>Nihon Kohden</v>
          </cell>
          <cell r="K79" t="str">
            <v>TEC 5531E</v>
          </cell>
          <cell r="L79" t="str">
            <v>01814</v>
          </cell>
          <cell r="M79">
            <v>2009</v>
          </cell>
          <cell r="N79">
            <v>-6</v>
          </cell>
          <cell r="R79" t="str">
            <v>Semestral</v>
          </cell>
        </row>
        <row r="80">
          <cell r="C80">
            <v>32</v>
          </cell>
          <cell r="E80" t="str">
            <v>Desfibrilador</v>
          </cell>
        </row>
        <row r="81">
          <cell r="C81">
            <v>33</v>
          </cell>
          <cell r="D81" t="str">
            <v>2-008958</v>
          </cell>
          <cell r="E81" t="str">
            <v>Desfibrilador</v>
          </cell>
          <cell r="F81" t="str">
            <v>Pediatría</v>
          </cell>
          <cell r="G81" t="str">
            <v>Pediatría Lactantes</v>
          </cell>
          <cell r="H81" t="str">
            <v>Pasillo</v>
          </cell>
          <cell r="I81" t="str">
            <v>Adquirido</v>
          </cell>
          <cell r="J81" t="str">
            <v>Nihon Kohden</v>
          </cell>
          <cell r="K81" t="str">
            <v>TEC 5521E</v>
          </cell>
          <cell r="L81" t="str">
            <v>00082</v>
          </cell>
          <cell r="M81">
            <v>2005</v>
          </cell>
          <cell r="N81">
            <v>-10</v>
          </cell>
          <cell r="R81" t="str">
            <v>Semestral</v>
          </cell>
        </row>
        <row r="82">
          <cell r="C82">
            <v>34</v>
          </cell>
          <cell r="D82" t="str">
            <v>2-119676</v>
          </cell>
          <cell r="E82" t="str">
            <v>Desfibrilador</v>
          </cell>
          <cell r="F82" t="str">
            <v>UPC Adulto</v>
          </cell>
          <cell r="G82" t="str">
            <v>UTI Adulto</v>
          </cell>
          <cell r="H82" t="str">
            <v>P2</v>
          </cell>
          <cell r="I82" t="str">
            <v>Adquirido</v>
          </cell>
          <cell r="J82" t="str">
            <v>Zoll</v>
          </cell>
          <cell r="K82" t="str">
            <v>M2</v>
          </cell>
          <cell r="L82" t="str">
            <v>(21)BA19F000019</v>
          </cell>
          <cell r="M82">
            <v>2020</v>
          </cell>
          <cell r="N82">
            <v>5</v>
          </cell>
          <cell r="R82" t="str">
            <v>Semestral</v>
          </cell>
        </row>
        <row r="83">
          <cell r="C83">
            <v>35</v>
          </cell>
          <cell r="D83" t="str">
            <v>2-004405</v>
          </cell>
          <cell r="E83" t="str">
            <v>Desfibrilador</v>
          </cell>
          <cell r="F83" t="str">
            <v>Medicina</v>
          </cell>
          <cell r="G83" t="str">
            <v>Medicina interna - 5to piso</v>
          </cell>
          <cell r="H83" t="str">
            <v>5TO PISO TN</v>
          </cell>
          <cell r="I83" t="str">
            <v>Adquirido</v>
          </cell>
          <cell r="J83" t="str">
            <v>Nihon Kohden</v>
          </cell>
          <cell r="K83" t="str">
            <v>TEC 5531E</v>
          </cell>
          <cell r="L83" t="str">
            <v>01812</v>
          </cell>
          <cell r="M83">
            <v>2009</v>
          </cell>
          <cell r="N83">
            <v>-6</v>
          </cell>
          <cell r="R83" t="str">
            <v>Semestral</v>
          </cell>
        </row>
        <row r="84">
          <cell r="C84">
            <v>36</v>
          </cell>
          <cell r="D84" t="str">
            <v>2-008665</v>
          </cell>
          <cell r="E84" t="str">
            <v>Desfibrilador</v>
          </cell>
          <cell r="F84" t="str">
            <v>Medicina</v>
          </cell>
          <cell r="G84" t="str">
            <v>Medicina interna - 5to piso</v>
          </cell>
          <cell r="H84" t="str">
            <v>5TO PISO EPA</v>
          </cell>
          <cell r="I84" t="str">
            <v>Adquirido</v>
          </cell>
          <cell r="J84" t="str">
            <v>Nihon Kohden</v>
          </cell>
          <cell r="K84" t="str">
            <v>TEC 5521E</v>
          </cell>
          <cell r="L84" t="str">
            <v>00342</v>
          </cell>
          <cell r="M84">
            <v>2006</v>
          </cell>
          <cell r="N84">
            <v>-9</v>
          </cell>
          <cell r="R84" t="str">
            <v>Semestral</v>
          </cell>
        </row>
        <row r="85">
          <cell r="C85">
            <v>37</v>
          </cell>
          <cell r="E85" t="str">
            <v>Desfibrilador</v>
          </cell>
        </row>
        <row r="86">
          <cell r="C86">
            <v>38</v>
          </cell>
          <cell r="D86" t="str">
            <v>2-021249</v>
          </cell>
          <cell r="E86" t="str">
            <v>Desfibrilador</v>
          </cell>
          <cell r="F86" t="str">
            <v>Cirugía Infantil</v>
          </cell>
          <cell r="G86" t="str">
            <v>Cirugía Infantil</v>
          </cell>
          <cell r="H86" t="str">
            <v>Sala procedmiento cirugíaa infantil</v>
          </cell>
          <cell r="I86" t="str">
            <v>Adquirido</v>
          </cell>
          <cell r="J86" t="str">
            <v>Nihon Kohden</v>
          </cell>
          <cell r="K86" t="str">
            <v>TEC 5531E</v>
          </cell>
          <cell r="L86" t="str">
            <v>01813</v>
          </cell>
          <cell r="M86">
            <v>2009</v>
          </cell>
          <cell r="N86">
            <v>-6</v>
          </cell>
          <cell r="R86" t="str">
            <v>Semestral</v>
          </cell>
        </row>
        <row r="87">
          <cell r="C87">
            <v>39</v>
          </cell>
          <cell r="D87" t="str">
            <v>2-004271</v>
          </cell>
          <cell r="E87" t="str">
            <v>Desfibrilador</v>
          </cell>
          <cell r="F87" t="str">
            <v>Medicina Materno Fetal</v>
          </cell>
          <cell r="G87" t="str">
            <v>Medicina Materno Fetal</v>
          </cell>
          <cell r="H87" t="str">
            <v>P4-TNB</v>
          </cell>
          <cell r="I87" t="str">
            <v>Adquirido</v>
          </cell>
          <cell r="J87" t="str">
            <v>Nihon Kohden</v>
          </cell>
          <cell r="K87" t="str">
            <v>TEC 5531E</v>
          </cell>
          <cell r="L87" t="str">
            <v>00883</v>
          </cell>
          <cell r="M87">
            <v>2007</v>
          </cell>
          <cell r="N87">
            <v>-8</v>
          </cell>
          <cell r="R87" t="str">
            <v>Semestral</v>
          </cell>
        </row>
        <row r="88">
          <cell r="C88">
            <v>40</v>
          </cell>
          <cell r="D88" t="str">
            <v>2-003814</v>
          </cell>
          <cell r="E88" t="str">
            <v>Desfibrilador</v>
          </cell>
          <cell r="F88" t="str">
            <v>Cirugía Adulto</v>
          </cell>
          <cell r="G88" t="str">
            <v>Cirugía Adulto - Piso 3</v>
          </cell>
          <cell r="H88" t="str">
            <v>EPA</v>
          </cell>
          <cell r="I88" t="str">
            <v>Adquirido</v>
          </cell>
          <cell r="J88" t="str">
            <v>Nihon Kohden</v>
          </cell>
          <cell r="K88" t="str">
            <v>TEC 5531E</v>
          </cell>
          <cell r="L88" t="str">
            <v>01796</v>
          </cell>
          <cell r="M88">
            <v>2008</v>
          </cell>
          <cell r="N88">
            <v>-7</v>
          </cell>
          <cell r="R88" t="str">
            <v>Semestral</v>
          </cell>
        </row>
        <row r="89">
          <cell r="C89">
            <v>41</v>
          </cell>
          <cell r="E89" t="str">
            <v>Desfibrilador</v>
          </cell>
        </row>
        <row r="90">
          <cell r="C90">
            <v>42</v>
          </cell>
          <cell r="D90" t="str">
            <v>2-002799</v>
          </cell>
          <cell r="E90" t="str">
            <v>Desfibrilador</v>
          </cell>
          <cell r="F90" t="str">
            <v>Quimioterapia Ambulatoria Adulto</v>
          </cell>
          <cell r="G90" t="str">
            <v>QMT Ambulatoria Adulto</v>
          </cell>
          <cell r="H90" t="str">
            <v>EPC-P2</v>
          </cell>
          <cell r="I90" t="str">
            <v>Adquirido</v>
          </cell>
          <cell r="J90" t="str">
            <v>Nihon Kohden</v>
          </cell>
          <cell r="K90" t="str">
            <v>TEC 5531E</v>
          </cell>
          <cell r="L90" t="str">
            <v>01819</v>
          </cell>
          <cell r="M90">
            <v>2009</v>
          </cell>
          <cell r="N90">
            <v>-6</v>
          </cell>
          <cell r="R90" t="str">
            <v>Semestral</v>
          </cell>
        </row>
        <row r="91">
          <cell r="C91">
            <v>43</v>
          </cell>
          <cell r="E91" t="str">
            <v>Desfibrilador</v>
          </cell>
        </row>
        <row r="92">
          <cell r="C92">
            <v>44</v>
          </cell>
          <cell r="D92" t="str">
            <v>2-022320</v>
          </cell>
          <cell r="E92" t="str">
            <v>Desfibrilador</v>
          </cell>
          <cell r="F92" t="str">
            <v>Urgencias Gineco-Obstétricas</v>
          </cell>
          <cell r="G92" t="str">
            <v>Urgencia Obstétrica</v>
          </cell>
          <cell r="H92" t="str">
            <v>UPC-P1-SA20</v>
          </cell>
          <cell r="I92" t="str">
            <v>Adquirido</v>
          </cell>
          <cell r="J92" t="str">
            <v xml:space="preserve">Zoll </v>
          </cell>
          <cell r="K92" t="str">
            <v>R SERIES ALS</v>
          </cell>
          <cell r="L92" t="str">
            <v>AF12B020983</v>
          </cell>
          <cell r="M92">
            <v>2012</v>
          </cell>
          <cell r="N92">
            <v>-3</v>
          </cell>
          <cell r="R92" t="str">
            <v>Semestral</v>
          </cell>
        </row>
        <row r="93">
          <cell r="C93">
            <v>45</v>
          </cell>
          <cell r="E93" t="str">
            <v>Desfibrilador</v>
          </cell>
        </row>
        <row r="94">
          <cell r="C94">
            <v>46</v>
          </cell>
          <cell r="D94" t="str">
            <v>2-122452</v>
          </cell>
          <cell r="E94" t="str">
            <v>Desfibrilador</v>
          </cell>
          <cell r="F94" t="str">
            <v>Pabellón Quirúrgico</v>
          </cell>
          <cell r="G94" t="str">
            <v>Pabellón Cardiovascular</v>
          </cell>
          <cell r="I94" t="str">
            <v>Adquirido</v>
          </cell>
          <cell r="J94" t="str">
            <v>Physio Control</v>
          </cell>
          <cell r="K94" t="str">
            <v>Lifepak 15</v>
          </cell>
          <cell r="L94">
            <v>49453842</v>
          </cell>
          <cell r="M94">
            <v>2022</v>
          </cell>
          <cell r="N94">
            <v>7</v>
          </cell>
          <cell r="R94" t="str">
            <v>Semestral</v>
          </cell>
        </row>
        <row r="95">
          <cell r="C95">
            <v>47</v>
          </cell>
          <cell r="D95" t="str">
            <v>2-112272</v>
          </cell>
          <cell r="E95" t="str">
            <v>Desfibrilador</v>
          </cell>
          <cell r="F95" t="str">
            <v>UPC Cardiovascular</v>
          </cell>
          <cell r="G95" t="str">
            <v>Electrofisiología</v>
          </cell>
          <cell r="H95" t="str">
            <v>Angiografo</v>
          </cell>
          <cell r="I95" t="str">
            <v>Adquirido</v>
          </cell>
          <cell r="J95" t="str">
            <v>Medtronic</v>
          </cell>
          <cell r="K95" t="str">
            <v>Lifepack 20</v>
          </cell>
          <cell r="L95">
            <v>30634707</v>
          </cell>
          <cell r="M95">
            <v>2012</v>
          </cell>
          <cell r="N95">
            <v>-3</v>
          </cell>
          <cell r="R95" t="str">
            <v>Semestral</v>
          </cell>
        </row>
        <row r="96">
          <cell r="C96">
            <v>48</v>
          </cell>
          <cell r="D96" t="str">
            <v>121010-020241</v>
          </cell>
          <cell r="E96" t="str">
            <v>DEA</v>
          </cell>
          <cell r="F96" t="str">
            <v>SAMU</v>
          </cell>
          <cell r="G96" t="str">
            <v>SAMU</v>
          </cell>
          <cell r="H96" t="str">
            <v>Movil 1305</v>
          </cell>
          <cell r="I96" t="str">
            <v>Préstamo SSAS</v>
          </cell>
          <cell r="J96" t="str">
            <v>Zoll</v>
          </cell>
          <cell r="K96" t="str">
            <v>AEDPLUS</v>
          </cell>
          <cell r="L96" t="str">
            <v>X21J421750</v>
          </cell>
          <cell r="M96">
            <v>2022</v>
          </cell>
          <cell r="N96">
            <v>7</v>
          </cell>
          <cell r="R96" t="str">
            <v>Mensual (diaria)</v>
          </cell>
        </row>
        <row r="97">
          <cell r="C97">
            <v>49</v>
          </cell>
          <cell r="D97" t="str">
            <v>2-117263</v>
          </cell>
          <cell r="E97" t="str">
            <v>Desfibrilador</v>
          </cell>
          <cell r="F97" t="str">
            <v>SAMU</v>
          </cell>
          <cell r="G97" t="str">
            <v>SAMU</v>
          </cell>
          <cell r="H97" t="str">
            <v>Movil 1301</v>
          </cell>
          <cell r="I97" t="str">
            <v>Adquirido</v>
          </cell>
          <cell r="J97" t="str">
            <v>Nihon Kohden</v>
          </cell>
          <cell r="K97" t="str">
            <v>TEC-8352K</v>
          </cell>
          <cell r="L97" t="str">
            <v>01640</v>
          </cell>
          <cell r="M97">
            <v>2018</v>
          </cell>
          <cell r="N97">
            <v>3</v>
          </cell>
          <cell r="R97" t="str">
            <v>Semestral</v>
          </cell>
        </row>
        <row r="98">
          <cell r="C98">
            <v>50</v>
          </cell>
          <cell r="D98" t="str">
            <v>2-017206</v>
          </cell>
          <cell r="E98" t="str">
            <v>Desfibrilador</v>
          </cell>
          <cell r="F98" t="str">
            <v>SAMU</v>
          </cell>
          <cell r="G98" t="str">
            <v>SAMU</v>
          </cell>
          <cell r="H98" t="str">
            <v>Movil 1302</v>
          </cell>
          <cell r="I98" t="str">
            <v>Adquirido</v>
          </cell>
          <cell r="J98" t="str">
            <v xml:space="preserve">Zoll </v>
          </cell>
          <cell r="K98" t="str">
            <v>R SERIES ALS</v>
          </cell>
          <cell r="L98" t="str">
            <v>AF12B020986</v>
          </cell>
          <cell r="M98">
            <v>2012</v>
          </cell>
          <cell r="N98">
            <v>-3</v>
          </cell>
          <cell r="R98" t="str">
            <v>Semestral</v>
          </cell>
        </row>
        <row r="99">
          <cell r="C99">
            <v>51</v>
          </cell>
          <cell r="D99" t="str">
            <v>2-124605</v>
          </cell>
          <cell r="E99" t="str">
            <v>DEA</v>
          </cell>
          <cell r="F99" t="str">
            <v>Gestión de Pacientes</v>
          </cell>
          <cell r="G99" t="str">
            <v>Gestión de Pacientes</v>
          </cell>
          <cell r="H99" t="str">
            <v>Movil SHLF-84</v>
          </cell>
          <cell r="I99" t="str">
            <v>Adquirido</v>
          </cell>
          <cell r="J99" t="str">
            <v>Mindray</v>
          </cell>
          <cell r="K99" t="str">
            <v>BeneHeart C2</v>
          </cell>
          <cell r="L99" t="str">
            <v>AE7-24048210</v>
          </cell>
          <cell r="M99">
            <v>2023</v>
          </cell>
          <cell r="N99">
            <v>8</v>
          </cell>
          <cell r="R99" t="str">
            <v>Mensual (diaria)</v>
          </cell>
        </row>
        <row r="100">
          <cell r="C100">
            <v>52</v>
          </cell>
          <cell r="D100" t="str">
            <v>2-024418</v>
          </cell>
          <cell r="E100" t="str">
            <v>Desfibrilador</v>
          </cell>
          <cell r="F100" t="str">
            <v>Pabellón Quirúrgico</v>
          </cell>
          <cell r="G100" t="str">
            <v>Pabellón Central</v>
          </cell>
          <cell r="H100" t="str">
            <v>CDT-P2-PA05</v>
          </cell>
          <cell r="I100" t="str">
            <v>Adquirido</v>
          </cell>
          <cell r="J100" t="str">
            <v>Medtronic</v>
          </cell>
          <cell r="K100" t="str">
            <v>Lifepack 20</v>
          </cell>
          <cell r="L100" t="str">
            <v>40979213</v>
          </cell>
          <cell r="M100">
            <v>2012</v>
          </cell>
          <cell r="N100">
            <v>-3</v>
          </cell>
          <cell r="R100" t="str">
            <v>Semestral</v>
          </cell>
        </row>
        <row r="101">
          <cell r="C101">
            <v>53</v>
          </cell>
          <cell r="D101" t="str">
            <v>2-134460</v>
          </cell>
          <cell r="E101" t="str">
            <v>DEA</v>
          </cell>
          <cell r="F101" t="str">
            <v>CDT</v>
          </cell>
          <cell r="G101" t="str">
            <v>CEM</v>
          </cell>
          <cell r="I101" t="str">
            <v>Adquirido</v>
          </cell>
          <cell r="J101" t="str">
            <v>Nihon Kohden</v>
          </cell>
          <cell r="K101" t="str">
            <v>AED-3100K</v>
          </cell>
          <cell r="L101" t="str">
            <v>40422</v>
          </cell>
          <cell r="M101">
            <v>2025</v>
          </cell>
          <cell r="N101">
            <v>10</v>
          </cell>
          <cell r="Q101" t="str">
            <v>En garantía por 12 meses 02-04-25, con 1 mantención preventiva al año.</v>
          </cell>
        </row>
        <row r="102">
          <cell r="C102">
            <v>54</v>
          </cell>
          <cell r="D102" t="str">
            <v>2-112273</v>
          </cell>
          <cell r="E102" t="str">
            <v>DEA</v>
          </cell>
          <cell r="F102" t="str">
            <v>Prevención de Riesgos</v>
          </cell>
          <cell r="G102" t="str">
            <v>Prevención de Riesgos</v>
          </cell>
          <cell r="H102" t="str">
            <v>Espera 1º Piso CDT</v>
          </cell>
          <cell r="I102" t="str">
            <v>Adquirido</v>
          </cell>
          <cell r="J102" t="str">
            <v>DEFIBTECH</v>
          </cell>
          <cell r="K102" t="str">
            <v xml:space="preserve">LIFE LINE </v>
          </cell>
          <cell r="L102">
            <v>122002994</v>
          </cell>
          <cell r="M102">
            <v>2013</v>
          </cell>
          <cell r="N102">
            <v>-2</v>
          </cell>
          <cell r="R102" t="str">
            <v>Mensual (diaria)</v>
          </cell>
        </row>
        <row r="103">
          <cell r="C103">
            <v>55</v>
          </cell>
          <cell r="D103" t="str">
            <v>2-112274</v>
          </cell>
          <cell r="E103" t="str">
            <v>DEA</v>
          </cell>
          <cell r="F103" t="str">
            <v>Prevención de Riesgos</v>
          </cell>
          <cell r="G103" t="str">
            <v>Prevención de Riesgos</v>
          </cell>
          <cell r="H103" t="str">
            <v>Hall 1º Piso EP</v>
          </cell>
          <cell r="I103" t="str">
            <v>Adquirido</v>
          </cell>
          <cell r="J103" t="str">
            <v>DEFIBTECH</v>
          </cell>
          <cell r="K103" t="str">
            <v xml:space="preserve">LIFE LINE </v>
          </cell>
          <cell r="L103">
            <v>122003001</v>
          </cell>
          <cell r="M103">
            <v>2013</v>
          </cell>
          <cell r="N103">
            <v>-2</v>
          </cell>
          <cell r="R103" t="str">
            <v>Mensual (diaria)</v>
          </cell>
        </row>
        <row r="104">
          <cell r="C104">
            <v>56</v>
          </cell>
          <cell r="D104" t="str">
            <v>2-112275</v>
          </cell>
          <cell r="E104" t="str">
            <v>DEA</v>
          </cell>
          <cell r="F104" t="str">
            <v>Prevención de Riesgos</v>
          </cell>
          <cell r="G104" t="str">
            <v>Prevención de Riesgos</v>
          </cell>
          <cell r="H104" t="str">
            <v xml:space="preserve">Priorización Infantil </v>
          </cell>
          <cell r="I104" t="str">
            <v>Adquirido</v>
          </cell>
          <cell r="J104" t="str">
            <v>DEFIBTECH</v>
          </cell>
          <cell r="K104" t="str">
            <v xml:space="preserve">LIFE LINE </v>
          </cell>
          <cell r="L104">
            <v>122002995</v>
          </cell>
          <cell r="M104">
            <v>2013</v>
          </cell>
          <cell r="N104">
            <v>-2</v>
          </cell>
          <cell r="R104" t="str">
            <v>Mensual (diaria)</v>
          </cell>
        </row>
        <row r="105">
          <cell r="C105">
            <v>57</v>
          </cell>
          <cell r="D105" t="str">
            <v>2-112276</v>
          </cell>
          <cell r="E105" t="str">
            <v>DEA</v>
          </cell>
          <cell r="F105" t="str">
            <v>Prevención de Riesgos</v>
          </cell>
          <cell r="G105" t="str">
            <v>Prevención de Riesgos</v>
          </cell>
          <cell r="H105" t="str">
            <v xml:space="preserve">Priorización Adultos </v>
          </cell>
          <cell r="I105" t="str">
            <v>Adquirido</v>
          </cell>
          <cell r="J105" t="str">
            <v>DEFIBTECH</v>
          </cell>
          <cell r="K105" t="str">
            <v xml:space="preserve">LIFE LINE </v>
          </cell>
          <cell r="L105">
            <v>122003000</v>
          </cell>
          <cell r="M105">
            <v>2013</v>
          </cell>
          <cell r="N105">
            <v>-2</v>
          </cell>
          <cell r="R105" t="str">
            <v>Mensual (diaria)</v>
          </cell>
        </row>
        <row r="106">
          <cell r="C106">
            <v>58</v>
          </cell>
          <cell r="D106" t="str">
            <v>2-112277</v>
          </cell>
          <cell r="E106" t="str">
            <v>DEA</v>
          </cell>
          <cell r="F106" t="str">
            <v>Prevención de Riesgos</v>
          </cell>
          <cell r="G106" t="str">
            <v>Prevención de Riesgos</v>
          </cell>
          <cell r="H106" t="str">
            <v>Zócalo CDT</v>
          </cell>
          <cell r="I106" t="str">
            <v>Adquirido</v>
          </cell>
          <cell r="J106" t="str">
            <v>DEFIBTECH</v>
          </cell>
          <cell r="K106" t="str">
            <v xml:space="preserve">LIFE LINE </v>
          </cell>
          <cell r="L106">
            <v>122002981</v>
          </cell>
          <cell r="M106">
            <v>2013</v>
          </cell>
          <cell r="N106">
            <v>-2</v>
          </cell>
          <cell r="R106" t="str">
            <v>Mensual (diaria)</v>
          </cell>
        </row>
        <row r="107">
          <cell r="C107">
            <v>59</v>
          </cell>
          <cell r="D107" t="str">
            <v>2-002371</v>
          </cell>
          <cell r="E107" t="str">
            <v>DEA</v>
          </cell>
          <cell r="F107" t="str">
            <v>Prevención de Riesgos</v>
          </cell>
          <cell r="G107" t="str">
            <v>Prevención de Riesgos</v>
          </cell>
          <cell r="H107" t="str">
            <v>Entrada Principal TN</v>
          </cell>
          <cell r="I107" t="str">
            <v>Adquirido</v>
          </cell>
          <cell r="J107" t="str">
            <v>DEFIBTECH</v>
          </cell>
          <cell r="K107" t="str">
            <v xml:space="preserve">LIFE LINE </v>
          </cell>
          <cell r="L107">
            <v>122002983</v>
          </cell>
          <cell r="M107">
            <v>2013</v>
          </cell>
          <cell r="N107">
            <v>-2</v>
          </cell>
          <cell r="R107" t="str">
            <v>Mensual (diaria)</v>
          </cell>
        </row>
        <row r="108">
          <cell r="C108">
            <v>60</v>
          </cell>
          <cell r="D108" t="str">
            <v>2-112278</v>
          </cell>
          <cell r="E108" t="str">
            <v>DEA</v>
          </cell>
          <cell r="F108" t="str">
            <v>Prevención de Riesgos</v>
          </cell>
          <cell r="G108" t="str">
            <v>Prevención de Riesgos</v>
          </cell>
          <cell r="H108" t="str">
            <v xml:space="preserve">Estacionamiento Zócalo </v>
          </cell>
          <cell r="I108" t="str">
            <v>Adquirido</v>
          </cell>
          <cell r="J108" t="str">
            <v>DEFIBTECH</v>
          </cell>
          <cell r="K108" t="str">
            <v xml:space="preserve">LIFE LINE </v>
          </cell>
          <cell r="L108">
            <v>122002988</v>
          </cell>
          <cell r="M108">
            <v>2013</v>
          </cell>
          <cell r="N108">
            <v>-2</v>
          </cell>
          <cell r="R108" t="str">
            <v>Mensual (diaria)</v>
          </cell>
        </row>
        <row r="109">
          <cell r="C109">
            <v>61</v>
          </cell>
          <cell r="D109" t="str">
            <v>2-001551</v>
          </cell>
          <cell r="E109" t="str">
            <v>DEA</v>
          </cell>
          <cell r="F109" t="str">
            <v>Prevención de Riesgos</v>
          </cell>
          <cell r="G109" t="str">
            <v>Prevención de Riesgos</v>
          </cell>
          <cell r="H109" t="str">
            <v>Hall Imagenología</v>
          </cell>
          <cell r="I109" t="str">
            <v>Adquirido</v>
          </cell>
          <cell r="J109" t="str">
            <v>DEFIBTECH</v>
          </cell>
          <cell r="K109" t="str">
            <v xml:space="preserve">LIFE LINE </v>
          </cell>
          <cell r="L109">
            <v>122002985</v>
          </cell>
          <cell r="M109">
            <v>2013</v>
          </cell>
          <cell r="N109">
            <v>-2</v>
          </cell>
          <cell r="R109" t="str">
            <v>Mensual (diaria)</v>
          </cell>
        </row>
        <row r="110">
          <cell r="C110">
            <v>62</v>
          </cell>
          <cell r="D110" t="str">
            <v>2-134461</v>
          </cell>
          <cell r="E110" t="str">
            <v>DEA</v>
          </cell>
          <cell r="F110" t="str">
            <v>CDT</v>
          </cell>
          <cell r="G110" t="str">
            <v>CEM</v>
          </cell>
          <cell r="I110" t="str">
            <v>Adquirido</v>
          </cell>
          <cell r="J110" t="str">
            <v>Nihon Kohden</v>
          </cell>
          <cell r="K110" t="str">
            <v>AED-3100K</v>
          </cell>
          <cell r="L110">
            <v>40361</v>
          </cell>
          <cell r="M110">
            <v>2025</v>
          </cell>
          <cell r="N110">
            <v>10</v>
          </cell>
          <cell r="Q110" t="str">
            <v>En garantía por 12 meses desde 02-04-25, con 1 mantención preventiva al año.</v>
          </cell>
        </row>
        <row r="111">
          <cell r="C111">
            <v>63</v>
          </cell>
          <cell r="D111" t="str">
            <v>2-006472</v>
          </cell>
          <cell r="E111" t="str">
            <v>Desfibrilador</v>
          </cell>
          <cell r="F111" t="str">
            <v>Hemodiálisis</v>
          </cell>
          <cell r="G111" t="str">
            <v>Hemodiálisis</v>
          </cell>
          <cell r="H111" t="str">
            <v>EPB-P1</v>
          </cell>
          <cell r="I111" t="str">
            <v>Donación</v>
          </cell>
          <cell r="J111" t="str">
            <v>Mindray</v>
          </cell>
          <cell r="K111" t="str">
            <v>BeneHeart D6</v>
          </cell>
          <cell r="L111" t="str">
            <v>DG-29006896</v>
          </cell>
          <cell r="M111">
            <v>2014</v>
          </cell>
          <cell r="N111">
            <v>-1</v>
          </cell>
          <cell r="R111" t="str">
            <v>Semestral</v>
          </cell>
        </row>
        <row r="112">
          <cell r="C112">
            <v>64</v>
          </cell>
          <cell r="D112" t="str">
            <v>2-112279</v>
          </cell>
          <cell r="E112" t="str">
            <v>Desfibrilador</v>
          </cell>
          <cell r="F112" t="str">
            <v>Urgencia Infantil</v>
          </cell>
          <cell r="G112" t="str">
            <v>Urgencia Infantil</v>
          </cell>
          <cell r="H112" t="str">
            <v>SUI reanimador</v>
          </cell>
          <cell r="I112" t="str">
            <v>Donación</v>
          </cell>
          <cell r="J112" t="str">
            <v>Mindray</v>
          </cell>
          <cell r="K112" t="str">
            <v>BeneHeart D6</v>
          </cell>
          <cell r="L112" t="str">
            <v>DG-29006907</v>
          </cell>
          <cell r="M112">
            <v>2014</v>
          </cell>
          <cell r="N112">
            <v>-1</v>
          </cell>
          <cell r="R112" t="str">
            <v>Semestral</v>
          </cell>
        </row>
        <row r="113">
          <cell r="C113">
            <v>65</v>
          </cell>
          <cell r="D113" t="str">
            <v>2-112280</v>
          </cell>
          <cell r="E113" t="str">
            <v>Desfibrilador</v>
          </cell>
          <cell r="F113" t="str">
            <v>Cirugía Adulto</v>
          </cell>
          <cell r="G113" t="str">
            <v>Cirugía Adulto - Piso 7</v>
          </cell>
          <cell r="H113" t="str">
            <v>7mo piso</v>
          </cell>
          <cell r="I113" t="str">
            <v>Adquirido</v>
          </cell>
          <cell r="J113" t="str">
            <v xml:space="preserve">Zoll </v>
          </cell>
          <cell r="K113" t="str">
            <v>R SERIES ALS</v>
          </cell>
          <cell r="L113" t="str">
            <v>(21)AF14J041071</v>
          </cell>
          <cell r="M113">
            <v>2015</v>
          </cell>
          <cell r="N113">
            <v>0</v>
          </cell>
          <cell r="Q113" t="str">
            <v>Equipo fuera de servicio se debe calibrar bateria ST</v>
          </cell>
          <cell r="R113" t="str">
            <v>Semestral</v>
          </cell>
        </row>
        <row r="114">
          <cell r="C114">
            <v>66</v>
          </cell>
          <cell r="D114" t="str">
            <v>2-007396</v>
          </cell>
          <cell r="E114" t="str">
            <v>Desfibrilador</v>
          </cell>
          <cell r="F114" t="str">
            <v>UPC Cardiovascular</v>
          </cell>
          <cell r="G114" t="str">
            <v>UCI Cardiovascular</v>
          </cell>
          <cell r="H114" t="str">
            <v>Pasillo</v>
          </cell>
          <cell r="I114" t="str">
            <v>Adquirido</v>
          </cell>
          <cell r="J114" t="str">
            <v xml:space="preserve">Zoll </v>
          </cell>
          <cell r="K114" t="str">
            <v>R SERIES ALS</v>
          </cell>
          <cell r="L114" t="str">
            <v>(21)AF14J041081</v>
          </cell>
          <cell r="M114">
            <v>2015</v>
          </cell>
          <cell r="N114">
            <v>0</v>
          </cell>
          <cell r="R114" t="str">
            <v>Semestral</v>
          </cell>
        </row>
        <row r="115">
          <cell r="C115">
            <v>67</v>
          </cell>
          <cell r="D115" t="str">
            <v>2-112281</v>
          </cell>
          <cell r="E115" t="str">
            <v>Desfibrilador</v>
          </cell>
          <cell r="F115" t="str">
            <v>Electrofisiología</v>
          </cell>
          <cell r="G115" t="str">
            <v>Electrofisiología</v>
          </cell>
          <cell r="H115" t="str">
            <v>EPC 5to Piso</v>
          </cell>
          <cell r="I115" t="str">
            <v>Adquirido</v>
          </cell>
          <cell r="J115" t="str">
            <v xml:space="preserve">Zoll </v>
          </cell>
          <cell r="K115" t="str">
            <v>R SERIES ALS</v>
          </cell>
          <cell r="L115" t="str">
            <v>(21)AF14J041073</v>
          </cell>
          <cell r="M115">
            <v>2016</v>
          </cell>
          <cell r="N115">
            <v>1</v>
          </cell>
          <cell r="R115" t="str">
            <v>Semestral</v>
          </cell>
        </row>
        <row r="116">
          <cell r="C116">
            <v>68</v>
          </cell>
          <cell r="D116" t="str">
            <v>2-113491</v>
          </cell>
          <cell r="E116" t="str">
            <v>Desfibrilador</v>
          </cell>
          <cell r="F116" t="str">
            <v>SAMU</v>
          </cell>
          <cell r="G116" t="str">
            <v>SAMU</v>
          </cell>
          <cell r="H116" t="str">
            <v>Base 13</v>
          </cell>
          <cell r="I116" t="str">
            <v>Adquirido</v>
          </cell>
          <cell r="J116" t="str">
            <v>Instramed</v>
          </cell>
          <cell r="K116" t="str">
            <v>Cardiomax 8 Series</v>
          </cell>
          <cell r="L116" t="str">
            <v>41204CM7004</v>
          </cell>
          <cell r="M116">
            <v>2015</v>
          </cell>
          <cell r="N116">
            <v>0</v>
          </cell>
          <cell r="R116" t="str">
            <v>Semestral</v>
          </cell>
        </row>
        <row r="117">
          <cell r="C117">
            <v>69</v>
          </cell>
          <cell r="D117" t="str">
            <v>2-135212</v>
          </cell>
          <cell r="E117" t="str">
            <v>Desfibrilador</v>
          </cell>
          <cell r="F117" t="str">
            <v>Urgencia Infantil</v>
          </cell>
          <cell r="G117" t="str">
            <v>Sala de reanimación</v>
          </cell>
          <cell r="I117" t="str">
            <v>Adquirido</v>
          </cell>
          <cell r="J117" t="str">
            <v>Nihon Kohden</v>
          </cell>
          <cell r="K117" t="str">
            <v>TEC-5631E</v>
          </cell>
          <cell r="L117" t="str">
            <v>07905</v>
          </cell>
          <cell r="M117">
            <v>2025</v>
          </cell>
          <cell r="N117">
            <v>10</v>
          </cell>
          <cell r="Q117" t="str">
            <v>En garantia por 12 meses desde el 09-09-2025</v>
          </cell>
          <cell r="R117" t="str">
            <v>Semestral</v>
          </cell>
        </row>
        <row r="118">
          <cell r="C118">
            <v>70</v>
          </cell>
          <cell r="D118" t="str">
            <v>2-112290</v>
          </cell>
          <cell r="E118" t="str">
            <v>Desfibrilador</v>
          </cell>
          <cell r="F118" t="str">
            <v>UPC Adulto</v>
          </cell>
          <cell r="G118" t="str">
            <v>UCI Adulto</v>
          </cell>
          <cell r="H118" t="str">
            <v>UCI D</v>
          </cell>
          <cell r="I118" t="str">
            <v>Adquirido</v>
          </cell>
          <cell r="J118" t="str">
            <v>Mindray</v>
          </cell>
          <cell r="K118" t="str">
            <v>BeneHeart D6</v>
          </cell>
          <cell r="L118" t="str">
            <v>DG4C012442</v>
          </cell>
          <cell r="M118">
            <v>2015</v>
          </cell>
          <cell r="N118">
            <v>0</v>
          </cell>
          <cell r="Q118" t="str">
            <v>se cambia cable ecg, se cambia saturometro, 1 bateria instalada en el equipo</v>
          </cell>
          <cell r="R118" t="str">
            <v>Semestral</v>
          </cell>
        </row>
        <row r="119">
          <cell r="C119">
            <v>71</v>
          </cell>
          <cell r="D119" t="str">
            <v>2-112282</v>
          </cell>
          <cell r="E119" t="str">
            <v>Desfibrilador</v>
          </cell>
          <cell r="F119" t="str">
            <v>UPC Adulto</v>
          </cell>
          <cell r="G119" t="str">
            <v>UTI Adulto</v>
          </cell>
          <cell r="H119" t="str">
            <v>TNB--1-BG05</v>
          </cell>
          <cell r="I119" t="str">
            <v>Adquirido</v>
          </cell>
          <cell r="J119" t="str">
            <v>Mindray</v>
          </cell>
          <cell r="K119" t="str">
            <v>BeneHeart D6</v>
          </cell>
          <cell r="L119" t="str">
            <v>DG4C012445</v>
          </cell>
          <cell r="M119">
            <v>2015</v>
          </cell>
          <cell r="N119">
            <v>0</v>
          </cell>
          <cell r="Q119" t="str">
            <v>Reposición de cable ECG, Reposicón de saturómetro</v>
          </cell>
          <cell r="R119" t="str">
            <v>Semestral</v>
          </cell>
        </row>
        <row r="120">
          <cell r="C120">
            <v>72</v>
          </cell>
          <cell r="D120" t="str">
            <v>2-112283</v>
          </cell>
          <cell r="E120" t="str">
            <v>Desfibrilador</v>
          </cell>
          <cell r="F120" t="str">
            <v>UPC Adulto</v>
          </cell>
          <cell r="G120" t="str">
            <v>UCI Adulto</v>
          </cell>
          <cell r="H120" t="str">
            <v>SECTOR C</v>
          </cell>
          <cell r="I120" t="str">
            <v>Adquirido</v>
          </cell>
          <cell r="J120" t="str">
            <v>Mindray</v>
          </cell>
          <cell r="K120" t="str">
            <v>BeneHeart D6</v>
          </cell>
          <cell r="L120" t="str">
            <v>DG4C012440</v>
          </cell>
          <cell r="M120">
            <v>2015</v>
          </cell>
          <cell r="N120">
            <v>0</v>
          </cell>
          <cell r="Q120" t="str">
            <v>2 baterias instaladas en el equipo</v>
          </cell>
          <cell r="R120" t="str">
            <v>Semestral</v>
          </cell>
        </row>
        <row r="121">
          <cell r="C121">
            <v>73</v>
          </cell>
          <cell r="D121" t="str">
            <v>2-023257</v>
          </cell>
          <cell r="E121" t="str">
            <v>Desfibrilador</v>
          </cell>
          <cell r="F121" t="str">
            <v>UPC Adulto (Prestado a Cirugía Adulto)</v>
          </cell>
          <cell r="G121" t="str">
            <v>Cirugia Adulto - Piso 3</v>
          </cell>
          <cell r="H121" t="str">
            <v>3 Piso</v>
          </cell>
          <cell r="I121" t="str">
            <v>Adquirido</v>
          </cell>
          <cell r="J121" t="str">
            <v>Mindray</v>
          </cell>
          <cell r="K121" t="str">
            <v>BeneHeart D6</v>
          </cell>
          <cell r="L121" t="str">
            <v>DG4C012439</v>
          </cell>
          <cell r="M121">
            <v>2015</v>
          </cell>
          <cell r="N121">
            <v>0</v>
          </cell>
          <cell r="Q121" t="str">
            <v>trazabilidad. 18/8 cambio de cable ECG y saturómetro</v>
          </cell>
          <cell r="R121" t="str">
            <v>Semestral</v>
          </cell>
        </row>
        <row r="122">
          <cell r="C122">
            <v>74</v>
          </cell>
          <cell r="D122" t="str">
            <v>2-112284</v>
          </cell>
          <cell r="E122" t="str">
            <v>Desfibrilador</v>
          </cell>
          <cell r="F122" t="str">
            <v>UPC Adulto</v>
          </cell>
          <cell r="G122" t="str">
            <v>UCI Adulto</v>
          </cell>
          <cell r="H122" t="str">
            <v>BODEGA</v>
          </cell>
          <cell r="I122" t="str">
            <v>Adquirido</v>
          </cell>
          <cell r="J122" t="str">
            <v>Mindray</v>
          </cell>
          <cell r="K122" t="str">
            <v>BeneHeart D6</v>
          </cell>
          <cell r="L122" t="str">
            <v>DG4C012437</v>
          </cell>
          <cell r="M122">
            <v>2015</v>
          </cell>
          <cell r="N122">
            <v>0</v>
          </cell>
          <cell r="Q122" t="str">
            <v>1 bateria instalada en el equipo</v>
          </cell>
          <cell r="R122" t="str">
            <v>Semestral</v>
          </cell>
        </row>
        <row r="123">
          <cell r="C123">
            <v>75</v>
          </cell>
          <cell r="D123" t="str">
            <v>2-112000</v>
          </cell>
          <cell r="E123" t="str">
            <v>Desfibrilador</v>
          </cell>
          <cell r="F123" t="str">
            <v>SAMU</v>
          </cell>
          <cell r="G123" t="str">
            <v>SAMU</v>
          </cell>
          <cell r="I123" t="str">
            <v>Adquirido</v>
          </cell>
          <cell r="J123" t="str">
            <v>NIHON KOHDEN</v>
          </cell>
          <cell r="K123" t="str">
            <v>TEC-8352K</v>
          </cell>
          <cell r="L123" t="str">
            <v>00932</v>
          </cell>
          <cell r="M123">
            <v>2016</v>
          </cell>
          <cell r="N123">
            <v>1</v>
          </cell>
          <cell r="R123" t="str">
            <v>Semestral</v>
          </cell>
        </row>
        <row r="124">
          <cell r="C124">
            <v>76</v>
          </cell>
          <cell r="D124" t="str">
            <v>2-112001</v>
          </cell>
          <cell r="E124" t="str">
            <v>Desfibrilador</v>
          </cell>
          <cell r="F124" t="str">
            <v>Urgencia Adulto</v>
          </cell>
          <cell r="G124" t="str">
            <v>Urgencia Adulto</v>
          </cell>
          <cell r="H124" t="str">
            <v>Reanimación</v>
          </cell>
          <cell r="I124" t="str">
            <v>Adquirido</v>
          </cell>
          <cell r="J124" t="str">
            <v>NIHON KOHDEN</v>
          </cell>
          <cell r="K124" t="str">
            <v>TEC-8352K</v>
          </cell>
          <cell r="L124" t="str">
            <v>00946</v>
          </cell>
          <cell r="M124">
            <v>2016</v>
          </cell>
          <cell r="N124">
            <v>1</v>
          </cell>
          <cell r="Q124" t="str">
            <v>30.10.2025 se cambia soporte metalico de paletas y reposición de troncal y sensor</v>
          </cell>
          <cell r="R124" t="str">
            <v>Semestral</v>
          </cell>
        </row>
        <row r="125">
          <cell r="C125">
            <v>77</v>
          </cell>
          <cell r="D125" t="str">
            <v>2-118880</v>
          </cell>
          <cell r="E125" t="str">
            <v>Desfibrilador</v>
          </cell>
          <cell r="F125" t="str">
            <v xml:space="preserve">UPC Pediátrica </v>
          </cell>
          <cell r="G125" t="str">
            <v>UCI Pediátrica</v>
          </cell>
          <cell r="I125" t="str">
            <v>Adquirido</v>
          </cell>
          <cell r="J125" t="str">
            <v>Zoll</v>
          </cell>
          <cell r="K125" t="str">
            <v>R SERIES ALS</v>
          </cell>
          <cell r="L125" t="str">
            <v>(21)AF19F099451</v>
          </cell>
          <cell r="M125">
            <v>2019</v>
          </cell>
          <cell r="N125">
            <v>4</v>
          </cell>
          <cell r="R125" t="str">
            <v>Semestral</v>
          </cell>
        </row>
        <row r="126">
          <cell r="C126">
            <v>78</v>
          </cell>
          <cell r="D126" t="str">
            <v>2-118883</v>
          </cell>
          <cell r="E126" t="str">
            <v>Desfibrilador</v>
          </cell>
          <cell r="F126" t="str">
            <v>UPC Pediátrica</v>
          </cell>
          <cell r="G126" t="str">
            <v xml:space="preserve">UTI Pediátrica </v>
          </cell>
          <cell r="I126" t="str">
            <v>Adquirido</v>
          </cell>
          <cell r="J126" t="str">
            <v>Zoll</v>
          </cell>
          <cell r="K126" t="str">
            <v>R SERIES ALS</v>
          </cell>
          <cell r="L126" t="str">
            <v>(21)AF19F099428</v>
          </cell>
          <cell r="M126">
            <v>2019</v>
          </cell>
          <cell r="N126">
            <v>4</v>
          </cell>
          <cell r="R126" t="str">
            <v>Semestral</v>
          </cell>
        </row>
        <row r="127">
          <cell r="C127">
            <v>79</v>
          </cell>
          <cell r="D127" t="str">
            <v>2-119182</v>
          </cell>
          <cell r="E127" t="str">
            <v>Desfibrilador</v>
          </cell>
          <cell r="F127" t="str">
            <v>Pabellón (Recuperación)</v>
          </cell>
          <cell r="G127" t="str">
            <v>Recuperación Pabellón Central</v>
          </cell>
          <cell r="H127" t="str">
            <v>Carro de paro</v>
          </cell>
          <cell r="I127" t="str">
            <v>Adquirido</v>
          </cell>
          <cell r="J127" t="str">
            <v>Zoll</v>
          </cell>
          <cell r="K127" t="str">
            <v>R SERIES ALS</v>
          </cell>
          <cell r="L127" t="str">
            <v>(21)AF19K107390</v>
          </cell>
          <cell r="M127">
            <v>2019</v>
          </cell>
          <cell r="N127">
            <v>4</v>
          </cell>
          <cell r="Q127" t="str">
            <v>se reemplazada cable ECG completo 24-10-2025</v>
          </cell>
          <cell r="R127" t="str">
            <v>Semestral</v>
          </cell>
        </row>
        <row r="128">
          <cell r="C128">
            <v>80</v>
          </cell>
          <cell r="D128" t="str">
            <v>2-119180</v>
          </cell>
          <cell r="E128" t="str">
            <v>Desfibrilador</v>
          </cell>
          <cell r="F128" t="str">
            <v>Pabellón CMA</v>
          </cell>
          <cell r="G128" t="str">
            <v>Recuperación CMA</v>
          </cell>
          <cell r="I128" t="str">
            <v>Adquirido</v>
          </cell>
          <cell r="J128" t="str">
            <v>Zoll</v>
          </cell>
          <cell r="K128" t="str">
            <v>R SERIES ALS</v>
          </cell>
          <cell r="L128" t="str">
            <v>(21)AF19K107391</v>
          </cell>
          <cell r="M128">
            <v>2019</v>
          </cell>
          <cell r="N128">
            <v>4</v>
          </cell>
          <cell r="R128" t="str">
            <v>Semestral</v>
          </cell>
        </row>
        <row r="129">
          <cell r="C129">
            <v>81</v>
          </cell>
          <cell r="D129" t="str">
            <v>2-119179</v>
          </cell>
          <cell r="E129" t="str">
            <v>Desfibrilador</v>
          </cell>
          <cell r="F129" t="str">
            <v>Pabellón Quirúrgico</v>
          </cell>
          <cell r="G129" t="str">
            <v>Pabellón Central</v>
          </cell>
          <cell r="I129" t="str">
            <v>Adquirido</v>
          </cell>
          <cell r="J129" t="str">
            <v>Zoll</v>
          </cell>
          <cell r="K129" t="str">
            <v>R SERIES ALS</v>
          </cell>
          <cell r="L129" t="str">
            <v>(21)AF19K107393</v>
          </cell>
          <cell r="M129">
            <v>2019</v>
          </cell>
          <cell r="N129">
            <v>4</v>
          </cell>
          <cell r="R129" t="str">
            <v>Semestral</v>
          </cell>
        </row>
        <row r="130">
          <cell r="C130">
            <v>82</v>
          </cell>
          <cell r="D130" t="str">
            <v>2-119181</v>
          </cell>
          <cell r="E130" t="str">
            <v>Desfibrilador</v>
          </cell>
          <cell r="F130" t="str">
            <v>Pabellón Quirúrgico</v>
          </cell>
          <cell r="G130" t="str">
            <v>Pabellón Central</v>
          </cell>
          <cell r="I130" t="str">
            <v>Adquirido</v>
          </cell>
          <cell r="J130" t="str">
            <v>Zoll</v>
          </cell>
          <cell r="K130" t="str">
            <v>R SERIES ALS</v>
          </cell>
          <cell r="L130" t="str">
            <v>(21)AF19K107388</v>
          </cell>
          <cell r="M130">
            <v>2019</v>
          </cell>
          <cell r="N130">
            <v>4</v>
          </cell>
          <cell r="R130" t="str">
            <v>Semestral</v>
          </cell>
        </row>
        <row r="131">
          <cell r="C131">
            <v>83</v>
          </cell>
          <cell r="D131" t="str">
            <v>2-118891</v>
          </cell>
          <cell r="E131" t="str">
            <v>Desfibrilador</v>
          </cell>
          <cell r="F131" t="str">
            <v>UPC Cardiovascular</v>
          </cell>
          <cell r="G131" t="str">
            <v>UTI Cardiovascular</v>
          </cell>
          <cell r="H131" t="str">
            <v>Pasillo</v>
          </cell>
          <cell r="I131" t="str">
            <v>Adquirido</v>
          </cell>
          <cell r="J131" t="str">
            <v>Zoll</v>
          </cell>
          <cell r="K131" t="str">
            <v>R SERIES ALS</v>
          </cell>
          <cell r="L131" t="str">
            <v>(21)AF19F099447</v>
          </cell>
          <cell r="M131">
            <v>2019</v>
          </cell>
          <cell r="N131">
            <v>4</v>
          </cell>
          <cell r="Q131" t="str">
            <v>Equipo enviado a ST #169, enviado por Carlos Bahamondes el 13-08-2025, OT 19-14809</v>
          </cell>
          <cell r="R131" t="str">
            <v>Semestral</v>
          </cell>
        </row>
        <row r="132">
          <cell r="C132">
            <v>84</v>
          </cell>
          <cell r="D132" t="str">
            <v>2-120767</v>
          </cell>
          <cell r="E132" t="str">
            <v>Desfibrilador</v>
          </cell>
          <cell r="F132" t="str">
            <v>Cardiología</v>
          </cell>
          <cell r="G132" t="str">
            <v>CDT Módulo C</v>
          </cell>
          <cell r="H132" t="str">
            <v>Box 15C</v>
          </cell>
          <cell r="I132" t="str">
            <v>Préstamo-Hospital de Angol</v>
          </cell>
          <cell r="J132" t="str">
            <v>Nihon Kohden</v>
          </cell>
          <cell r="K132" t="str">
            <v>TEC 5531E</v>
          </cell>
          <cell r="L132" t="str">
            <v>02609</v>
          </cell>
          <cell r="M132">
            <v>2020</v>
          </cell>
          <cell r="N132">
            <v>5</v>
          </cell>
          <cell r="R132" t="str">
            <v>Semestral</v>
          </cell>
        </row>
        <row r="133">
          <cell r="C133">
            <v>85</v>
          </cell>
          <cell r="D133" t="str">
            <v>2-120768</v>
          </cell>
          <cell r="E133" t="str">
            <v>Desfibrilador</v>
          </cell>
          <cell r="F133" t="str">
            <v>UPC 3er Piso</v>
          </cell>
          <cell r="G133" t="str">
            <v>UCI 3er Piso</v>
          </cell>
          <cell r="H133" t="str">
            <v>Carro de paro</v>
          </cell>
          <cell r="I133" t="str">
            <v>Préstamo-Hospital de Angol</v>
          </cell>
          <cell r="J133" t="str">
            <v>Nihon Kohden</v>
          </cell>
          <cell r="K133" t="str">
            <v>TEC 5531E</v>
          </cell>
          <cell r="L133" t="str">
            <v>03249</v>
          </cell>
          <cell r="M133">
            <v>2020</v>
          </cell>
          <cell r="N133">
            <v>5</v>
          </cell>
          <cell r="R133" t="str">
            <v>Semestral</v>
          </cell>
        </row>
        <row r="134">
          <cell r="C134">
            <v>86</v>
          </cell>
          <cell r="D134" t="str">
            <v>2-120997</v>
          </cell>
          <cell r="E134" t="str">
            <v>Desfibrilador</v>
          </cell>
          <cell r="F134" t="str">
            <v>Urgencia Adulto</v>
          </cell>
          <cell r="G134" t="str">
            <v>Urgencia Adulto</v>
          </cell>
          <cell r="H134" t="str">
            <v>Sala de equipos SUA</v>
          </cell>
          <cell r="I134" t="str">
            <v>Adquirido</v>
          </cell>
          <cell r="J134" t="str">
            <v>Nihon Kohden</v>
          </cell>
          <cell r="K134" t="str">
            <v>EMS-1052E</v>
          </cell>
          <cell r="L134">
            <v>298</v>
          </cell>
          <cell r="M134">
            <v>2020</v>
          </cell>
          <cell r="N134">
            <v>5</v>
          </cell>
          <cell r="R134" t="str">
            <v>Semestral</v>
          </cell>
        </row>
        <row r="135">
          <cell r="C135">
            <v>87</v>
          </cell>
          <cell r="D135" t="str">
            <v>121010-019639</v>
          </cell>
          <cell r="E135" t="str">
            <v>Desfibrilador</v>
          </cell>
          <cell r="F135" t="str">
            <v>SAMU</v>
          </cell>
          <cell r="G135" t="str">
            <v>SAMU</v>
          </cell>
          <cell r="H135" t="str">
            <v>Base 13</v>
          </cell>
          <cell r="I135" t="str">
            <v>Adquirido</v>
          </cell>
          <cell r="J135" t="str">
            <v>Zoll</v>
          </cell>
          <cell r="K135" t="str">
            <v>M2</v>
          </cell>
          <cell r="L135" t="str">
            <v>BA19F000013</v>
          </cell>
          <cell r="M135">
            <v>2021</v>
          </cell>
          <cell r="N135">
            <v>6</v>
          </cell>
          <cell r="Q135" t="str">
            <v>ST El equipo 121010-019639 presenta una solicitud de trabajo del 30-06-2025 por mantención del soporte izquierdo de la paleta de desfibrilador. El equipo fue enviado a servicio técnico el 03-07-2025, con número de envío 131.</v>
          </cell>
          <cell r="R135" t="str">
            <v>Semestral</v>
          </cell>
        </row>
        <row r="136">
          <cell r="C136">
            <v>88</v>
          </cell>
          <cell r="D136" t="str">
            <v>2-121024</v>
          </cell>
          <cell r="E136" t="str">
            <v>Desfibrilador</v>
          </cell>
          <cell r="F136" t="str">
            <v>SAMU</v>
          </cell>
          <cell r="G136" t="str">
            <v>SAMU</v>
          </cell>
          <cell r="H136" t="str">
            <v>Base 13</v>
          </cell>
          <cell r="I136" t="str">
            <v>Adquirido</v>
          </cell>
          <cell r="J136" t="str">
            <v>Nihon Kohden</v>
          </cell>
          <cell r="K136" t="str">
            <v>TEC-5631</v>
          </cell>
          <cell r="L136" t="str">
            <v>03533</v>
          </cell>
          <cell r="M136">
            <v>2021</v>
          </cell>
          <cell r="N136">
            <v>6</v>
          </cell>
          <cell r="Q136" t="str">
            <v>15.10.2025 se repone cable ECG y Saturómetro</v>
          </cell>
          <cell r="R136" t="str">
            <v>Semestral</v>
          </cell>
        </row>
        <row r="137">
          <cell r="C137">
            <v>89</v>
          </cell>
          <cell r="D137" t="str">
            <v>121010-019243</v>
          </cell>
          <cell r="E137" t="str">
            <v>DEA</v>
          </cell>
          <cell r="F137" t="str">
            <v>SAMU</v>
          </cell>
          <cell r="G137" t="str">
            <v>SAMU</v>
          </cell>
          <cell r="H137" t="str">
            <v>SAMU</v>
          </cell>
          <cell r="I137" t="str">
            <v>Adquirido</v>
          </cell>
          <cell r="J137" t="str">
            <v>Nihon Kohden</v>
          </cell>
          <cell r="K137" t="str">
            <v>AED-3100K</v>
          </cell>
          <cell r="L137">
            <v>13036</v>
          </cell>
          <cell r="M137">
            <v>2021</v>
          </cell>
          <cell r="N137">
            <v>6</v>
          </cell>
          <cell r="R137" t="str">
            <v>Mensual (diaria)</v>
          </cell>
        </row>
        <row r="138">
          <cell r="C138">
            <v>90</v>
          </cell>
          <cell r="D138" t="str">
            <v>2-121573</v>
          </cell>
          <cell r="E138" t="str">
            <v>Desfibrilador</v>
          </cell>
          <cell r="F138" t="str">
            <v>Medicina</v>
          </cell>
          <cell r="G138" t="str">
            <v>Medicina interna - 5to piso</v>
          </cell>
          <cell r="H138" t="str">
            <v>5TO PISO TNB</v>
          </cell>
          <cell r="I138" t="str">
            <v>Arriendo</v>
          </cell>
          <cell r="J138" t="str">
            <v>Nihon Kohden</v>
          </cell>
          <cell r="K138" t="str">
            <v>TEC-5631</v>
          </cell>
          <cell r="L138" t="str">
            <v>03938</v>
          </cell>
          <cell r="M138">
            <v>2021</v>
          </cell>
          <cell r="N138">
            <v>6</v>
          </cell>
          <cell r="R138" t="str">
            <v>Semestral</v>
          </cell>
        </row>
        <row r="139">
          <cell r="C139">
            <v>91</v>
          </cell>
          <cell r="D139" t="str">
            <v>2-121574</v>
          </cell>
          <cell r="E139" t="str">
            <v>Desfibrilador</v>
          </cell>
          <cell r="F139" t="str">
            <v>Medicina</v>
          </cell>
          <cell r="G139" t="str">
            <v>Medicina interna - 5to piso</v>
          </cell>
          <cell r="H139" t="str">
            <v>5TO PISO TNA</v>
          </cell>
          <cell r="I139" t="str">
            <v>Arriendo</v>
          </cell>
          <cell r="J139" t="str">
            <v>Nihon Kohden</v>
          </cell>
          <cell r="K139" t="str">
            <v>TEC-5631</v>
          </cell>
          <cell r="L139" t="str">
            <v>03939</v>
          </cell>
          <cell r="M139">
            <v>2021</v>
          </cell>
          <cell r="N139">
            <v>6</v>
          </cell>
          <cell r="R139" t="str">
            <v>Semestral</v>
          </cell>
        </row>
        <row r="140">
          <cell r="C140">
            <v>92</v>
          </cell>
          <cell r="D140" t="str">
            <v>2-121624</v>
          </cell>
          <cell r="E140" t="str">
            <v>DEA</v>
          </cell>
          <cell r="F140" t="str">
            <v>Gestión de Pacientes</v>
          </cell>
          <cell r="G140" t="str">
            <v>Gestión de Pacientes</v>
          </cell>
          <cell r="H140" t="str">
            <v>Movil RBFR-32</v>
          </cell>
          <cell r="I140" t="str">
            <v>Préstamo-SSAS</v>
          </cell>
          <cell r="J140" t="str">
            <v>Zoll</v>
          </cell>
          <cell r="K140" t="str">
            <v>AEDPLUS</v>
          </cell>
          <cell r="L140" t="str">
            <v>X21A332744</v>
          </cell>
          <cell r="M140">
            <v>2021</v>
          </cell>
          <cell r="N140">
            <v>6</v>
          </cell>
          <cell r="Q140" t="str">
            <v>mantención preventiva, equipo operativo</v>
          </cell>
          <cell r="R140" t="str">
            <v>Mensual (diaria)</v>
          </cell>
        </row>
        <row r="141">
          <cell r="C141">
            <v>93</v>
          </cell>
          <cell r="D141" t="str">
            <v>2-121695</v>
          </cell>
          <cell r="E141" t="str">
            <v>Desfibrilador</v>
          </cell>
          <cell r="F141" t="str">
            <v>Hemato Oncología Adulto</v>
          </cell>
          <cell r="G141" t="str">
            <v>Hemato Oncología Adulto</v>
          </cell>
          <cell r="H141" t="str">
            <v>5to piso EPB</v>
          </cell>
          <cell r="I141" t="str">
            <v>Adquirido</v>
          </cell>
          <cell r="J141" t="str">
            <v>Nihon Kohden</v>
          </cell>
          <cell r="K141" t="str">
            <v>TEC-5631</v>
          </cell>
          <cell r="L141" t="str">
            <v>03945</v>
          </cell>
          <cell r="M141">
            <v>2021</v>
          </cell>
          <cell r="N141">
            <v>6</v>
          </cell>
          <cell r="R141" t="str">
            <v>Semestral</v>
          </cell>
        </row>
        <row r="142">
          <cell r="C142">
            <v>1</v>
          </cell>
          <cell r="D142" t="str">
            <v>2-117144</v>
          </cell>
          <cell r="E142" t="str">
            <v>Máquina de Anestesia</v>
          </cell>
          <cell r="F142" t="str">
            <v>Pabellones Gineco-Obstétricos</v>
          </cell>
          <cell r="G142" t="str">
            <v>Pabellones Gineco-Obstétricos</v>
          </cell>
          <cell r="H142" t="str">
            <v>Pabellón 2</v>
          </cell>
          <cell r="I142" t="str">
            <v>Adquirido</v>
          </cell>
          <cell r="J142" t="str">
            <v xml:space="preserve">Drager </v>
          </cell>
          <cell r="K142" t="str">
            <v>Primus IE</v>
          </cell>
          <cell r="L142" t="str">
            <v>ASLJ-0308</v>
          </cell>
          <cell r="M142">
            <v>2018</v>
          </cell>
          <cell r="N142">
            <v>3</v>
          </cell>
          <cell r="R142" t="str">
            <v>Semestral</v>
          </cell>
        </row>
        <row r="143">
          <cell r="C143">
            <v>2</v>
          </cell>
          <cell r="D143" t="str">
            <v>2-133529</v>
          </cell>
          <cell r="E143" t="str">
            <v>Máquina de Anestesia</v>
          </cell>
          <cell r="F143" t="str">
            <v>Pabellones Gineco-Obstétricos</v>
          </cell>
          <cell r="G143" t="str">
            <v>Pabellones Gineco-Obstétricos</v>
          </cell>
          <cell r="I143" t="str">
            <v>Adquirido</v>
          </cell>
          <cell r="J143" t="str">
            <v xml:space="preserve">Drager </v>
          </cell>
          <cell r="K143" t="str">
            <v>Perseus A500</v>
          </cell>
          <cell r="L143" t="str">
            <v>ASRJ-0185</v>
          </cell>
          <cell r="M143">
            <v>2024</v>
          </cell>
          <cell r="N143">
            <v>9</v>
          </cell>
          <cell r="Q143" t="str">
            <v>En garant√≠a desde el  12-12-24. 36 meses de garant√≠a y 2 MP al a√±o.</v>
          </cell>
          <cell r="R143" t="str">
            <v>Semestral</v>
          </cell>
        </row>
        <row r="144">
          <cell r="C144">
            <v>3</v>
          </cell>
          <cell r="E144" t="str">
            <v>Máquina de Anestesia</v>
          </cell>
          <cell r="N144" t="str">
            <v>Disponible</v>
          </cell>
        </row>
        <row r="145">
          <cell r="C145">
            <v>4</v>
          </cell>
          <cell r="D145" t="str">
            <v>2-112255</v>
          </cell>
          <cell r="E145" t="str">
            <v>Máquina de Anestesia</v>
          </cell>
          <cell r="F145" t="str">
            <v>Pabellón Quirúrgico (Prestado a Electrofisiología)</v>
          </cell>
          <cell r="G145" t="str">
            <v>Electrofisiología</v>
          </cell>
          <cell r="H145" t="str">
            <v>Angiógrafo 5to piso</v>
          </cell>
          <cell r="I145" t="str">
            <v>Adquirido</v>
          </cell>
          <cell r="J145" t="str">
            <v xml:space="preserve">Drager </v>
          </cell>
          <cell r="K145" t="str">
            <v>Fabius GS</v>
          </cell>
          <cell r="L145" t="str">
            <v>ARXN-0048</v>
          </cell>
          <cell r="M145">
            <v>2007</v>
          </cell>
          <cell r="N145">
            <v>-8</v>
          </cell>
          <cell r="Q145" t="str">
            <v>trazabilidad</v>
          </cell>
          <cell r="R145" t="str">
            <v>Semestral</v>
          </cell>
        </row>
        <row r="146">
          <cell r="C146">
            <v>5</v>
          </cell>
          <cell r="D146" t="str">
            <v>2-024432</v>
          </cell>
          <cell r="E146" t="str">
            <v>Máquina de Anestesia</v>
          </cell>
          <cell r="F146" t="str">
            <v>Pabellón Quirúrgico (Prestado a Imagenología)</v>
          </cell>
          <cell r="G146" t="str">
            <v xml:space="preserve">Imagenología </v>
          </cell>
          <cell r="H146" t="str">
            <v>Scanner</v>
          </cell>
          <cell r="I146" t="str">
            <v>Adquirido</v>
          </cell>
          <cell r="J146" t="str">
            <v xml:space="preserve">Drager </v>
          </cell>
          <cell r="K146" t="str">
            <v xml:space="preserve">Primus </v>
          </cell>
          <cell r="L146" t="str">
            <v>ARYA-0173</v>
          </cell>
          <cell r="M146">
            <v>2007</v>
          </cell>
          <cell r="N146">
            <v>-8</v>
          </cell>
          <cell r="Q146" t="str">
            <v>trazabilidad</v>
          </cell>
          <cell r="R146" t="str">
            <v>Semestral</v>
          </cell>
        </row>
        <row r="147">
          <cell r="C147">
            <v>6</v>
          </cell>
          <cell r="E147" t="str">
            <v>Máquina de Anestesia</v>
          </cell>
          <cell r="N147" t="str">
            <v>Disponible</v>
          </cell>
        </row>
        <row r="148">
          <cell r="C148">
            <v>7</v>
          </cell>
          <cell r="D148" t="str">
            <v>2-024393</v>
          </cell>
          <cell r="E148" t="str">
            <v>Máquina de Anestesia</v>
          </cell>
          <cell r="F148" t="str">
            <v>Pabellón Quirúrgico</v>
          </cell>
          <cell r="G148" t="str">
            <v>Pabellón Central</v>
          </cell>
          <cell r="H148" t="str">
            <v>Pasillo</v>
          </cell>
          <cell r="I148" t="str">
            <v>Adquirido</v>
          </cell>
          <cell r="J148" t="str">
            <v xml:space="preserve">Drager </v>
          </cell>
          <cell r="K148" t="str">
            <v>Primus</v>
          </cell>
          <cell r="L148" t="str">
            <v>ARXK-0016</v>
          </cell>
          <cell r="M148">
            <v>2006</v>
          </cell>
          <cell r="N148">
            <v>-9</v>
          </cell>
          <cell r="R148" t="str">
            <v>Semestral</v>
          </cell>
        </row>
        <row r="149">
          <cell r="C149">
            <v>8</v>
          </cell>
          <cell r="D149" t="str">
            <v>2-117817</v>
          </cell>
          <cell r="E149" t="str">
            <v>Máquina de Anestesia</v>
          </cell>
          <cell r="F149" t="str">
            <v>Pabellón Quirúrgico (Prestado a Pabellón CMA)</v>
          </cell>
          <cell r="G149" t="str">
            <v>Pabellón CMA</v>
          </cell>
          <cell r="H149" t="str">
            <v>2do piso</v>
          </cell>
          <cell r="I149" t="str">
            <v>Arriendo</v>
          </cell>
          <cell r="J149" t="str">
            <v>Drager</v>
          </cell>
          <cell r="K149" t="str">
            <v>Primus IE</v>
          </cell>
          <cell r="L149" t="str">
            <v>ASMB-0232</v>
          </cell>
          <cell r="M149">
            <v>2019</v>
          </cell>
          <cell r="N149">
            <v>4</v>
          </cell>
          <cell r="Q149" t="str">
            <v>trazabilidad</v>
          </cell>
          <cell r="R149" t="str">
            <v>Semestral</v>
          </cell>
        </row>
        <row r="150">
          <cell r="C150">
            <v>9</v>
          </cell>
          <cell r="D150" t="str">
            <v>2-024458</v>
          </cell>
          <cell r="E150" t="str">
            <v>Máquina de Anestesia</v>
          </cell>
          <cell r="F150" t="str">
            <v>Pabellón Quirúrgico (Prestado a Imagenología)</v>
          </cell>
          <cell r="G150" t="str">
            <v>Imagenología</v>
          </cell>
          <cell r="H150" t="str">
            <v>Angiógrafo 1er piso</v>
          </cell>
          <cell r="I150" t="str">
            <v>Adquirido</v>
          </cell>
          <cell r="J150" t="str">
            <v xml:space="preserve">Drager </v>
          </cell>
          <cell r="K150" t="str">
            <v xml:space="preserve">Primus </v>
          </cell>
          <cell r="L150" t="str">
            <v>ASCB-0130</v>
          </cell>
          <cell r="M150">
            <v>2005</v>
          </cell>
          <cell r="N150">
            <v>-10</v>
          </cell>
          <cell r="Q150" t="str">
            <v>trazabilidad</v>
          </cell>
          <cell r="R150" t="str">
            <v>Semestral</v>
          </cell>
        </row>
        <row r="151">
          <cell r="C151">
            <v>10</v>
          </cell>
          <cell r="D151" t="str">
            <v>2-024296</v>
          </cell>
          <cell r="E151" t="str">
            <v>Máquina de Anestesia</v>
          </cell>
          <cell r="F151" t="str">
            <v>Pabellón Quirúrgico</v>
          </cell>
          <cell r="G151" t="str">
            <v>Pabellón Central</v>
          </cell>
          <cell r="H151" t="str">
            <v>Pabellón 3</v>
          </cell>
          <cell r="I151" t="str">
            <v>Adquirido</v>
          </cell>
          <cell r="J151" t="str">
            <v xml:space="preserve">Drager </v>
          </cell>
          <cell r="K151" t="str">
            <v>Primus</v>
          </cell>
          <cell r="L151" t="str">
            <v>ASCB-0129</v>
          </cell>
          <cell r="M151">
            <v>2011</v>
          </cell>
          <cell r="N151">
            <v>-4</v>
          </cell>
          <cell r="Q151" t="str">
            <v>Cono A con fallos, se recomienda el reemplazo 27-09-2024</v>
          </cell>
          <cell r="R151" t="str">
            <v>Semestral</v>
          </cell>
        </row>
        <row r="152">
          <cell r="C152">
            <v>11</v>
          </cell>
          <cell r="E152" t="str">
            <v>Máquina de Anestesia</v>
          </cell>
        </row>
        <row r="153">
          <cell r="C153">
            <v>12</v>
          </cell>
          <cell r="D153" t="str">
            <v>2-117816</v>
          </cell>
          <cell r="E153" t="str">
            <v>Máquina de Anestesia</v>
          </cell>
          <cell r="F153" t="str">
            <v>Pabellón Quirúrgico</v>
          </cell>
          <cell r="G153" t="str">
            <v>Pabellón Central</v>
          </cell>
          <cell r="H153" t="str">
            <v>BODEGA</v>
          </cell>
          <cell r="I153" t="str">
            <v>Arriendo</v>
          </cell>
          <cell r="J153" t="str">
            <v>Drager</v>
          </cell>
          <cell r="K153" t="str">
            <v>Primus IE</v>
          </cell>
          <cell r="L153" t="str">
            <v>ASMB-0231</v>
          </cell>
          <cell r="M153">
            <v>2019</v>
          </cell>
          <cell r="N153">
            <v>4</v>
          </cell>
          <cell r="Q153" t="str">
            <v>27.06.2025 fallo de dosificación de O2 y aire equipo fuera de servicio ST</v>
          </cell>
          <cell r="R153" t="str">
            <v>Semestral</v>
          </cell>
        </row>
        <row r="154">
          <cell r="C154">
            <v>13</v>
          </cell>
          <cell r="D154" t="str">
            <v>2-117815</v>
          </cell>
          <cell r="E154" t="str">
            <v>Máquina de Anestesia</v>
          </cell>
          <cell r="F154" t="str">
            <v>Pabellón Quirúrgico</v>
          </cell>
          <cell r="G154" t="str">
            <v>Pabellón Central</v>
          </cell>
          <cell r="H154" t="str">
            <v>Pabellón 7 Urgencia</v>
          </cell>
          <cell r="I154" t="str">
            <v>Arriendo</v>
          </cell>
          <cell r="J154" t="str">
            <v>Drager</v>
          </cell>
          <cell r="K154" t="str">
            <v>Primus IE</v>
          </cell>
          <cell r="L154" t="str">
            <v>ASMB-0230</v>
          </cell>
          <cell r="M154">
            <v>2019</v>
          </cell>
          <cell r="N154">
            <v>4</v>
          </cell>
          <cell r="R154" t="str">
            <v>Semestral</v>
          </cell>
        </row>
        <row r="155">
          <cell r="C155">
            <v>14</v>
          </cell>
          <cell r="D155" t="str">
            <v>2-017350</v>
          </cell>
          <cell r="E155" t="str">
            <v>Máquina de Anestesia</v>
          </cell>
          <cell r="F155" t="str">
            <v>Pabellón Quirúrgico</v>
          </cell>
          <cell r="G155" t="str">
            <v>Pabellón Central</v>
          </cell>
          <cell r="H155" t="str">
            <v>Equipamiento clinico</v>
          </cell>
          <cell r="I155" t="str">
            <v>Adquirido</v>
          </cell>
          <cell r="J155" t="str">
            <v>Drager</v>
          </cell>
          <cell r="K155" t="str">
            <v xml:space="preserve">Primus </v>
          </cell>
          <cell r="L155" t="str">
            <v>ARYA-0174</v>
          </cell>
          <cell r="M155">
            <v>2011</v>
          </cell>
          <cell r="N155">
            <v>-4</v>
          </cell>
          <cell r="Q155" t="str">
            <v>Mantención preventiva. Equipo operativo</v>
          </cell>
          <cell r="R155" t="str">
            <v>Semestral</v>
          </cell>
        </row>
        <row r="156">
          <cell r="C156">
            <v>15</v>
          </cell>
          <cell r="E156" t="str">
            <v>Máquina de Anestesia</v>
          </cell>
          <cell r="N156" t="str">
            <v>Disponible</v>
          </cell>
        </row>
        <row r="157">
          <cell r="C157">
            <v>16</v>
          </cell>
          <cell r="D157" t="str">
            <v>2-017325</v>
          </cell>
          <cell r="E157" t="str">
            <v>Máquina de Anestesia</v>
          </cell>
          <cell r="F157" t="str">
            <v>Pabellón Quirúrgico</v>
          </cell>
          <cell r="G157" t="str">
            <v>Pabellón Central</v>
          </cell>
          <cell r="H157" t="str">
            <v>Pabellón 8</v>
          </cell>
          <cell r="I157" t="str">
            <v>Adquirido</v>
          </cell>
          <cell r="J157" t="str">
            <v xml:space="preserve">Drager </v>
          </cell>
          <cell r="K157" t="str">
            <v xml:space="preserve">Primus </v>
          </cell>
          <cell r="L157" t="str">
            <v>ASDK-0158</v>
          </cell>
          <cell r="M157">
            <v>2012</v>
          </cell>
          <cell r="N157">
            <v>-3</v>
          </cell>
          <cell r="R157" t="str">
            <v>Semestral</v>
          </cell>
        </row>
        <row r="158">
          <cell r="C158">
            <v>17</v>
          </cell>
          <cell r="E158" t="str">
            <v>Máquina de Anestesia</v>
          </cell>
          <cell r="N158" t="str">
            <v>Disponible</v>
          </cell>
        </row>
        <row r="159">
          <cell r="C159">
            <v>18</v>
          </cell>
          <cell r="D159" t="str">
            <v>2-112256</v>
          </cell>
          <cell r="E159" t="str">
            <v>Máquina de Anestesia</v>
          </cell>
          <cell r="F159" t="str">
            <v>Pabellón Quirúrgico</v>
          </cell>
          <cell r="G159" t="str">
            <v>Pabellón Central</v>
          </cell>
          <cell r="H159" t="str">
            <v>BODEGA</v>
          </cell>
          <cell r="I159" t="str">
            <v>Adquirido</v>
          </cell>
          <cell r="J159" t="str">
            <v>Drager</v>
          </cell>
          <cell r="K159" t="str">
            <v>Fabius GS</v>
          </cell>
          <cell r="L159" t="str">
            <v>ARYL-0080</v>
          </cell>
          <cell r="M159">
            <v>2007</v>
          </cell>
          <cell r="N159">
            <v>-8</v>
          </cell>
          <cell r="R159" t="str">
            <v>Semestral</v>
          </cell>
        </row>
        <row r="160">
          <cell r="C160">
            <v>19</v>
          </cell>
          <cell r="D160" t="str">
            <v>2-024253</v>
          </cell>
          <cell r="E160" t="str">
            <v>Máquina de Anestesia</v>
          </cell>
          <cell r="F160" t="str">
            <v>Imagenología</v>
          </cell>
          <cell r="G160" t="str">
            <v xml:space="preserve">Imagenología </v>
          </cell>
          <cell r="H160" t="str">
            <v>Resonador</v>
          </cell>
          <cell r="I160" t="str">
            <v>Adquirido</v>
          </cell>
          <cell r="J160" t="str">
            <v xml:space="preserve">Datex Ohmeda </v>
          </cell>
          <cell r="K160" t="str">
            <v>Aestiva/5 MRI</v>
          </cell>
          <cell r="L160" t="str">
            <v>AMTK00245</v>
          </cell>
          <cell r="M160">
            <v>2012</v>
          </cell>
          <cell r="N160">
            <v>-3</v>
          </cell>
          <cell r="Q160" t="str">
            <v>Equipo operativo, se realiza cambio de bateria el 29.12.2025</v>
          </cell>
          <cell r="R160" t="str">
            <v>Semestral</v>
          </cell>
        </row>
        <row r="161">
          <cell r="C161">
            <v>20</v>
          </cell>
          <cell r="E161" t="str">
            <v>Máquina de Anestesia</v>
          </cell>
          <cell r="N161" t="str">
            <v>Disponible</v>
          </cell>
        </row>
        <row r="162">
          <cell r="C162">
            <v>21</v>
          </cell>
          <cell r="D162" t="str">
            <v>2-016193</v>
          </cell>
          <cell r="E162" t="str">
            <v>Máquina de Anestesia</v>
          </cell>
          <cell r="F162" t="str">
            <v>Pabellón (Prestado a Hemodinamia)</v>
          </cell>
          <cell r="G162" t="str">
            <v>Hemodinamia</v>
          </cell>
          <cell r="H162" t="str">
            <v>Pabellón Hemodinamia</v>
          </cell>
          <cell r="I162" t="str">
            <v>Adquirido</v>
          </cell>
          <cell r="J162" t="str">
            <v>Drager</v>
          </cell>
          <cell r="K162" t="str">
            <v>Primus</v>
          </cell>
          <cell r="L162" t="str">
            <v>ARXK-0015</v>
          </cell>
          <cell r="M162">
            <v>2006</v>
          </cell>
          <cell r="N162">
            <v>-9</v>
          </cell>
          <cell r="Q162" t="str">
            <v>trazabilidad. Prestamo temporal 17-11-2023. Equipo sin mangueras de sistema AGS a pares 27-09-24.</v>
          </cell>
          <cell r="R162" t="str">
            <v>Semestral</v>
          </cell>
        </row>
        <row r="163">
          <cell r="C163">
            <v>22</v>
          </cell>
          <cell r="D163" t="str">
            <v>2-022660</v>
          </cell>
          <cell r="E163" t="str">
            <v>Máquina de Anestesia</v>
          </cell>
          <cell r="F163" t="str">
            <v>Pabellones Gineco-Obstétricos</v>
          </cell>
          <cell r="G163" t="str">
            <v>Pabellones Gineco-Obstétricos</v>
          </cell>
          <cell r="H163" t="str">
            <v>Pabellón 1</v>
          </cell>
          <cell r="I163" t="str">
            <v>Adquirido</v>
          </cell>
          <cell r="J163" t="str">
            <v>Drager</v>
          </cell>
          <cell r="K163" t="str">
            <v>Primus IE</v>
          </cell>
          <cell r="L163" t="str">
            <v>ASHB-0263</v>
          </cell>
          <cell r="M163">
            <v>2015</v>
          </cell>
          <cell r="N163">
            <v>0</v>
          </cell>
          <cell r="R163" t="str">
            <v>Semestral</v>
          </cell>
        </row>
        <row r="164">
          <cell r="C164">
            <v>23</v>
          </cell>
          <cell r="D164" t="str">
            <v>2-024370</v>
          </cell>
          <cell r="E164" t="str">
            <v>Máquina de Anestesia</v>
          </cell>
          <cell r="F164" t="str">
            <v>Pabellón Quirúrgico</v>
          </cell>
          <cell r="G164" t="str">
            <v>Pabellón Central</v>
          </cell>
          <cell r="H164" t="str">
            <v>Pabellón 1</v>
          </cell>
          <cell r="I164" t="str">
            <v>Adquirido</v>
          </cell>
          <cell r="J164" t="str">
            <v xml:space="preserve">Drager </v>
          </cell>
          <cell r="K164" t="str">
            <v>Primus IE</v>
          </cell>
          <cell r="L164" t="str">
            <v>ASHB-0262</v>
          </cell>
          <cell r="M164">
            <v>2015</v>
          </cell>
          <cell r="N164">
            <v>0</v>
          </cell>
          <cell r="R164" t="str">
            <v>Semestral</v>
          </cell>
        </row>
        <row r="165">
          <cell r="C165">
            <v>24</v>
          </cell>
          <cell r="D165" t="str">
            <v>2-024352</v>
          </cell>
          <cell r="E165" t="str">
            <v>Máquina de Anestesia</v>
          </cell>
          <cell r="F165" t="str">
            <v>Pabellón Quirúrgico (Prestado a Pabellones Gineco-Obstétricos)</v>
          </cell>
          <cell r="G165" t="str">
            <v>Pabellones Gineco-Obstétricos</v>
          </cell>
          <cell r="H165" t="str">
            <v>Pabellón 1</v>
          </cell>
          <cell r="I165" t="str">
            <v>Adquirido</v>
          </cell>
          <cell r="J165" t="str">
            <v xml:space="preserve">Drager </v>
          </cell>
          <cell r="K165" t="str">
            <v>Primus IE</v>
          </cell>
          <cell r="L165" t="str">
            <v>ASHB-0261</v>
          </cell>
          <cell r="M165">
            <v>2015</v>
          </cell>
          <cell r="N165">
            <v>0</v>
          </cell>
          <cell r="Q165" t="str">
            <v>trazabilidad</v>
          </cell>
          <cell r="R165" t="str">
            <v>Semestral</v>
          </cell>
        </row>
        <row r="166">
          <cell r="C166">
            <v>25</v>
          </cell>
          <cell r="D166" t="str">
            <v>2-118716</v>
          </cell>
          <cell r="E166" t="str">
            <v>Máquina de Anestesia</v>
          </cell>
          <cell r="F166" t="str">
            <v>Pabellón Quirúrgico</v>
          </cell>
          <cell r="G166" t="str">
            <v>Pabellón Hemodinamia</v>
          </cell>
          <cell r="H166" t="str">
            <v>Bodega Pabellón Central</v>
          </cell>
          <cell r="I166" t="str">
            <v>Adquirido</v>
          </cell>
          <cell r="J166" t="str">
            <v>Drager</v>
          </cell>
          <cell r="K166" t="str">
            <v>Primus IE</v>
          </cell>
          <cell r="L166" t="str">
            <v>ASMB-0233</v>
          </cell>
          <cell r="M166">
            <v>2019</v>
          </cell>
          <cell r="N166">
            <v>4</v>
          </cell>
          <cell r="R166" t="str">
            <v>Semestral</v>
          </cell>
        </row>
        <row r="167">
          <cell r="C167">
            <v>26</v>
          </cell>
          <cell r="D167" t="str">
            <v>2-118800</v>
          </cell>
          <cell r="E167" t="str">
            <v>Máquina de Anestesia</v>
          </cell>
          <cell r="F167" t="str">
            <v>Pabellón Quirúrgico (Prestado a Pabellón CMA)</v>
          </cell>
          <cell r="G167" t="str">
            <v>Pabellón CMA</v>
          </cell>
          <cell r="H167" t="str">
            <v>PabellónCMA 2</v>
          </cell>
          <cell r="I167" t="str">
            <v>Adquirido</v>
          </cell>
          <cell r="J167" t="str">
            <v>Drager</v>
          </cell>
          <cell r="K167" t="str">
            <v>Primus</v>
          </cell>
          <cell r="L167" t="str">
            <v>ASMB-0234</v>
          </cell>
          <cell r="M167">
            <v>2019</v>
          </cell>
          <cell r="N167">
            <v>4</v>
          </cell>
          <cell r="Q167" t="str">
            <v>trazabilidad. Prestamo temporal 17-11-2023. Se recomienda cambiar manguera de sistema AGS 27-09-24</v>
          </cell>
          <cell r="R167" t="str">
            <v>Semestral</v>
          </cell>
        </row>
        <row r="168">
          <cell r="C168">
            <v>27</v>
          </cell>
          <cell r="D168" t="str">
            <v>2-118822</v>
          </cell>
          <cell r="E168" t="str">
            <v>Máquina de Anestesia</v>
          </cell>
          <cell r="F168" t="str">
            <v>Pabellón Quirúrgico</v>
          </cell>
          <cell r="G168" t="str">
            <v>Pabellón Central</v>
          </cell>
          <cell r="H168" t="str">
            <v>Pabellón 2</v>
          </cell>
          <cell r="I168" t="str">
            <v>Adquirido</v>
          </cell>
          <cell r="J168" t="str">
            <v>Drager</v>
          </cell>
          <cell r="K168" t="str">
            <v>Perseus A500</v>
          </cell>
          <cell r="L168" t="str">
            <v>ASMK-0087</v>
          </cell>
          <cell r="M168">
            <v>2019</v>
          </cell>
          <cell r="N168">
            <v>4</v>
          </cell>
          <cell r="Q168" t="str">
            <v>Se recomienda reemplazo del oring del brazo por desgaste 27-09-24.</v>
          </cell>
          <cell r="R168" t="str">
            <v>Semestral</v>
          </cell>
        </row>
        <row r="169">
          <cell r="C169">
            <v>28</v>
          </cell>
          <cell r="D169" t="str">
            <v>2-118850</v>
          </cell>
          <cell r="E169" t="str">
            <v>Máquina de Anestesia</v>
          </cell>
          <cell r="F169" t="str">
            <v>Pabellón Quirúrgico</v>
          </cell>
          <cell r="G169" t="str">
            <v>Pabellón Central</v>
          </cell>
          <cell r="H169" t="str">
            <v>Pabellón</v>
          </cell>
          <cell r="I169" t="str">
            <v>Adquirido</v>
          </cell>
          <cell r="J169" t="str">
            <v>Drager</v>
          </cell>
          <cell r="K169" t="str">
            <v>Perseus A500</v>
          </cell>
          <cell r="L169" t="str">
            <v>ASMK-0086</v>
          </cell>
          <cell r="M169">
            <v>2019</v>
          </cell>
          <cell r="N169">
            <v>4</v>
          </cell>
          <cell r="R169" t="str">
            <v>Semestral</v>
          </cell>
        </row>
        <row r="170">
          <cell r="C170">
            <v>29</v>
          </cell>
          <cell r="D170" t="str">
            <v>2-118851</v>
          </cell>
          <cell r="E170" t="str">
            <v>Máquina de Anestesia</v>
          </cell>
          <cell r="F170" t="str">
            <v>Pabellón Quirúrgico</v>
          </cell>
          <cell r="G170" t="str">
            <v>Pabellón Central</v>
          </cell>
          <cell r="H170" t="str">
            <v>Pabellón 10</v>
          </cell>
          <cell r="I170" t="str">
            <v>Adquirido</v>
          </cell>
          <cell r="J170" t="str">
            <v>Drager</v>
          </cell>
          <cell r="K170" t="str">
            <v>Perseus A500</v>
          </cell>
          <cell r="L170" t="str">
            <v>ASMK-0085</v>
          </cell>
          <cell r="M170">
            <v>2019</v>
          </cell>
          <cell r="N170">
            <v>4</v>
          </cell>
          <cell r="R170" t="str">
            <v>Semestral</v>
          </cell>
        </row>
        <row r="171">
          <cell r="C171">
            <v>30</v>
          </cell>
          <cell r="D171" t="str">
            <v>2-118840</v>
          </cell>
          <cell r="E171" t="str">
            <v>Máquina de Anestesia</v>
          </cell>
          <cell r="F171" t="str">
            <v>Pabellón Quirúrgico</v>
          </cell>
          <cell r="G171" t="str">
            <v>Pabellón Central</v>
          </cell>
          <cell r="H171" t="str">
            <v>Pabellón 5</v>
          </cell>
          <cell r="I171" t="str">
            <v>Adquirido</v>
          </cell>
          <cell r="J171" t="str">
            <v>Drager</v>
          </cell>
          <cell r="K171" t="str">
            <v>Primus</v>
          </cell>
          <cell r="L171" t="str">
            <v>ASMK-0178</v>
          </cell>
          <cell r="M171">
            <v>2019</v>
          </cell>
          <cell r="N171">
            <v>4</v>
          </cell>
          <cell r="R171" t="str">
            <v>Semestral</v>
          </cell>
        </row>
        <row r="172">
          <cell r="C172">
            <v>31</v>
          </cell>
          <cell r="D172" t="str">
            <v>2-118843</v>
          </cell>
          <cell r="E172" t="str">
            <v>Máquina de Anestesia</v>
          </cell>
          <cell r="F172" t="str">
            <v>Pabellón Quirúrgico</v>
          </cell>
          <cell r="G172" t="str">
            <v>Pabellón Central</v>
          </cell>
          <cell r="H172" t="str">
            <v xml:space="preserve">Pabellón 3 </v>
          </cell>
          <cell r="I172" t="str">
            <v>Adquirido</v>
          </cell>
          <cell r="J172" t="str">
            <v>Drager</v>
          </cell>
          <cell r="K172" t="str">
            <v>Primus</v>
          </cell>
          <cell r="L172" t="str">
            <v>ASMK-0179</v>
          </cell>
          <cell r="M172">
            <v>2019</v>
          </cell>
          <cell r="N172">
            <v>4</v>
          </cell>
          <cell r="R172" t="str">
            <v>Semestral</v>
          </cell>
        </row>
        <row r="173">
          <cell r="C173">
            <v>32</v>
          </cell>
          <cell r="D173" t="str">
            <v>2-118847</v>
          </cell>
          <cell r="E173" t="str">
            <v>Máquina de Anestesia</v>
          </cell>
          <cell r="F173" t="str">
            <v>Pabellón Quirúrgico (Prestado a Imagenología)</v>
          </cell>
          <cell r="G173" t="str">
            <v xml:space="preserve">Imagenología </v>
          </cell>
          <cell r="H173" t="str">
            <v>Resonador</v>
          </cell>
          <cell r="I173" t="str">
            <v>Adquirido</v>
          </cell>
          <cell r="J173" t="str">
            <v>Drager</v>
          </cell>
          <cell r="K173" t="str">
            <v>Fabius MRI</v>
          </cell>
          <cell r="L173" t="str">
            <v>ASML-0015</v>
          </cell>
          <cell r="M173">
            <v>2019</v>
          </cell>
          <cell r="N173">
            <v>4</v>
          </cell>
          <cell r="Q173" t="str">
            <v>trazabilidad. Se requiere reposicion de mangueras de sistema AGS 27-09-24.</v>
          </cell>
          <cell r="R173" t="str">
            <v>Semestral</v>
          </cell>
        </row>
        <row r="174">
          <cell r="C174">
            <v>1</v>
          </cell>
          <cell r="D174" t="str">
            <v>2-003535</v>
          </cell>
          <cell r="E174" t="str">
            <v xml:space="preserve">Ventilador Mecánico </v>
          </cell>
          <cell r="F174" t="str">
            <v>UPC Adulto</v>
          </cell>
          <cell r="G174" t="str">
            <v>UCI Adulto</v>
          </cell>
          <cell r="H174" t="str">
            <v>UPC-P2-SA07</v>
          </cell>
          <cell r="I174" t="str">
            <v>Adquirido</v>
          </cell>
          <cell r="J174" t="str">
            <v>Puritan Bennett</v>
          </cell>
          <cell r="K174" t="str">
            <v>840/Sin Comp.</v>
          </cell>
          <cell r="L174">
            <v>3510094199</v>
          </cell>
          <cell r="M174">
            <v>2010</v>
          </cell>
          <cell r="N174">
            <v>-5</v>
          </cell>
          <cell r="O174" t="str">
            <v>Invasivo</v>
          </cell>
          <cell r="R174" t="str">
            <v>Semestral</v>
          </cell>
        </row>
        <row r="175">
          <cell r="C175">
            <v>2</v>
          </cell>
          <cell r="D175" t="str">
            <v>2-121199</v>
          </cell>
          <cell r="E175" t="str">
            <v xml:space="preserve">Ventilador Mecánico </v>
          </cell>
          <cell r="F175" t="str">
            <v>UPC Adulto</v>
          </cell>
          <cell r="G175" t="str">
            <v>UPC Adulto</v>
          </cell>
          <cell r="I175" t="str">
            <v>Préstamo MINSAL</v>
          </cell>
          <cell r="J175" t="str">
            <v>MEK ICS</v>
          </cell>
          <cell r="K175" t="str">
            <v>MTV1000</v>
          </cell>
          <cell r="L175" t="str">
            <v>MTV1KUA1C0139</v>
          </cell>
          <cell r="M175">
            <v>2021</v>
          </cell>
          <cell r="N175">
            <v>6</v>
          </cell>
          <cell r="O175" t="str">
            <v>Transporte Invasivo</v>
          </cell>
          <cell r="R175" t="str">
            <v>Semestral</v>
          </cell>
        </row>
        <row r="176">
          <cell r="C176">
            <v>3</v>
          </cell>
          <cell r="D176" t="str">
            <v>2-007518</v>
          </cell>
          <cell r="E176" t="str">
            <v xml:space="preserve">Ventilador Mecánico </v>
          </cell>
          <cell r="F176" t="str">
            <v>UPC Adulto</v>
          </cell>
          <cell r="G176" t="str">
            <v>UCI Adulto</v>
          </cell>
          <cell r="H176" t="str">
            <v>UPC-P2-SA02</v>
          </cell>
          <cell r="I176" t="str">
            <v>Adquirido</v>
          </cell>
          <cell r="J176" t="str">
            <v>Puritan Bennett</v>
          </cell>
          <cell r="K176" t="str">
            <v>840/Sin Comp.</v>
          </cell>
          <cell r="L176">
            <v>3510094131</v>
          </cell>
          <cell r="M176">
            <v>2010</v>
          </cell>
          <cell r="N176">
            <v>-5</v>
          </cell>
          <cell r="O176" t="str">
            <v>Invasivo</v>
          </cell>
          <cell r="Q176" t="str">
            <v>Equipo es dado de baja debido a que su reparación supera el 90% del valor de un equipo de caracteristicas similares</v>
          </cell>
          <cell r="R176" t="str">
            <v>Semestral</v>
          </cell>
        </row>
        <row r="177">
          <cell r="C177">
            <v>4</v>
          </cell>
          <cell r="D177" t="str">
            <v>2-013579</v>
          </cell>
          <cell r="E177" t="str">
            <v xml:space="preserve">Ventilador Mecánico </v>
          </cell>
          <cell r="F177" t="str">
            <v>UPC Adulto</v>
          </cell>
          <cell r="G177" t="str">
            <v>UCI Adulto</v>
          </cell>
          <cell r="H177" t="str">
            <v>UPC-P2-SA19</v>
          </cell>
          <cell r="I177" t="str">
            <v>Adquirido</v>
          </cell>
          <cell r="J177" t="str">
            <v>Puritan Bennett</v>
          </cell>
          <cell r="K177">
            <v>840</v>
          </cell>
          <cell r="L177">
            <v>3510094181</v>
          </cell>
          <cell r="M177">
            <v>2010</v>
          </cell>
          <cell r="N177">
            <v>-5</v>
          </cell>
          <cell r="O177" t="str">
            <v>Invasivo</v>
          </cell>
          <cell r="R177" t="str">
            <v>Semestral</v>
          </cell>
        </row>
        <row r="178">
          <cell r="C178">
            <v>5</v>
          </cell>
          <cell r="D178" t="str">
            <v>2-112306</v>
          </cell>
          <cell r="E178" t="str">
            <v xml:space="preserve">Ventilador Mecánico </v>
          </cell>
          <cell r="F178" t="str">
            <v>UPC Adulto</v>
          </cell>
          <cell r="G178" t="str">
            <v>UCI Adulto</v>
          </cell>
          <cell r="H178" t="str">
            <v>UPC-P2-SA19</v>
          </cell>
          <cell r="I178" t="str">
            <v>Adquirido</v>
          </cell>
          <cell r="J178" t="str">
            <v>Puritan Bennett</v>
          </cell>
          <cell r="K178" t="str">
            <v>840/Sin Comp.</v>
          </cell>
          <cell r="L178">
            <v>3510094192</v>
          </cell>
          <cell r="M178">
            <v>2010</v>
          </cell>
          <cell r="N178">
            <v>-5</v>
          </cell>
          <cell r="O178" t="str">
            <v>Invasivo</v>
          </cell>
          <cell r="R178" t="str">
            <v>Semestral</v>
          </cell>
        </row>
        <row r="179">
          <cell r="C179">
            <v>6</v>
          </cell>
          <cell r="D179" t="str">
            <v>2-121782</v>
          </cell>
          <cell r="E179" t="str">
            <v xml:space="preserve">Ventilador Mecánico </v>
          </cell>
          <cell r="F179" t="str">
            <v>UPC Cardiovascular</v>
          </cell>
          <cell r="G179" t="str">
            <v>UCI Cardiovascular</v>
          </cell>
          <cell r="I179" t="str">
            <v>Préstamo MINSAL</v>
          </cell>
          <cell r="J179" t="str">
            <v>Puritan Bennett</v>
          </cell>
          <cell r="K179" t="str">
            <v>980/cc</v>
          </cell>
          <cell r="L179" t="str">
            <v>35B2101536</v>
          </cell>
          <cell r="M179">
            <v>2022</v>
          </cell>
          <cell r="N179">
            <v>7</v>
          </cell>
          <cell r="O179" t="str">
            <v>Invasivo</v>
          </cell>
          <cell r="R179" t="str">
            <v>Semestral</v>
          </cell>
        </row>
        <row r="180">
          <cell r="C180">
            <v>7</v>
          </cell>
          <cell r="D180" t="str">
            <v>2-121200</v>
          </cell>
          <cell r="E180" t="str">
            <v xml:space="preserve">Ventilador Mecánico </v>
          </cell>
          <cell r="F180" t="str">
            <v>UPC Cardiovascular</v>
          </cell>
          <cell r="G180" t="str">
            <v>UPC Cardiovascular</v>
          </cell>
          <cell r="I180" t="str">
            <v>Préstamo MINSAL</v>
          </cell>
          <cell r="J180" t="str">
            <v>MEK ICS</v>
          </cell>
          <cell r="K180" t="str">
            <v>MTV1000</v>
          </cell>
          <cell r="L180" t="str">
            <v>MTV1KUA1B0123</v>
          </cell>
          <cell r="M180">
            <v>2021</v>
          </cell>
          <cell r="N180">
            <v>6</v>
          </cell>
          <cell r="O180" t="str">
            <v>Transporte Invasivo</v>
          </cell>
          <cell r="R180" t="str">
            <v>Semestral</v>
          </cell>
        </row>
        <row r="181">
          <cell r="C181">
            <v>8</v>
          </cell>
          <cell r="D181" t="str">
            <v>2-121783</v>
          </cell>
          <cell r="E181" t="str">
            <v xml:space="preserve">Ventilador Mecánico </v>
          </cell>
          <cell r="F181" t="str">
            <v>UPC Cardiovascular</v>
          </cell>
          <cell r="G181" t="str">
            <v>UCI Cardiovascular</v>
          </cell>
          <cell r="I181" t="str">
            <v>Préstamo MINSAL</v>
          </cell>
          <cell r="J181" t="str">
            <v>Puritan Bennett</v>
          </cell>
          <cell r="K181" t="str">
            <v>980/cc</v>
          </cell>
          <cell r="L181" t="str">
            <v>35B2101595</v>
          </cell>
          <cell r="M181">
            <v>2022</v>
          </cell>
          <cell r="N181">
            <v>7</v>
          </cell>
          <cell r="O181" t="str">
            <v>Invasivo</v>
          </cell>
          <cell r="R181" t="str">
            <v>Semestral</v>
          </cell>
        </row>
        <row r="182">
          <cell r="C182">
            <v>9</v>
          </cell>
          <cell r="D182" t="str">
            <v>2-121206</v>
          </cell>
          <cell r="E182" t="str">
            <v xml:space="preserve">Ventilador Mecánico </v>
          </cell>
          <cell r="F182" t="str">
            <v>UPC Adulto</v>
          </cell>
          <cell r="G182" t="str">
            <v>UCI Adulto</v>
          </cell>
          <cell r="I182" t="str">
            <v>Préstamo MINSAL</v>
          </cell>
          <cell r="J182" t="str">
            <v>MEK ICS</v>
          </cell>
          <cell r="K182" t="str">
            <v>MV2000 EVO5</v>
          </cell>
          <cell r="L182" t="str">
            <v>MV2000UA1D0834</v>
          </cell>
          <cell r="M182">
            <v>2021</v>
          </cell>
          <cell r="N182">
            <v>6</v>
          </cell>
          <cell r="O182" t="str">
            <v>Invasivo</v>
          </cell>
          <cell r="Q182" t="str">
            <v>baja administrativa</v>
          </cell>
          <cell r="R182" t="str">
            <v>Semestral</v>
          </cell>
        </row>
        <row r="183">
          <cell r="C183">
            <v>10</v>
          </cell>
          <cell r="D183" t="str">
            <v>2-121784</v>
          </cell>
          <cell r="E183" t="str">
            <v xml:space="preserve">Ventilador Mecánico </v>
          </cell>
          <cell r="F183" t="str">
            <v>UPC Cardiovascular</v>
          </cell>
          <cell r="G183" t="str">
            <v>UCI Cardiovascular</v>
          </cell>
          <cell r="I183" t="str">
            <v>Préstamo MINSAL</v>
          </cell>
          <cell r="J183" t="str">
            <v>Puritan Bennett</v>
          </cell>
          <cell r="K183" t="str">
            <v>980/cc</v>
          </cell>
          <cell r="L183" t="str">
            <v>35B2101546</v>
          </cell>
          <cell r="M183">
            <v>2022</v>
          </cell>
          <cell r="N183">
            <v>7</v>
          </cell>
          <cell r="O183" t="str">
            <v>Invasivo</v>
          </cell>
          <cell r="R183" t="str">
            <v>Semestral</v>
          </cell>
        </row>
        <row r="184">
          <cell r="C184">
            <v>11</v>
          </cell>
          <cell r="D184" t="str">
            <v>2-013583</v>
          </cell>
          <cell r="E184" t="str">
            <v xml:space="preserve">Ventilador Mecánico </v>
          </cell>
          <cell r="F184" t="str">
            <v>UPC Adulto</v>
          </cell>
          <cell r="G184" t="str">
            <v>UCI Adulto</v>
          </cell>
          <cell r="H184" t="str">
            <v>UPC-P2-SA19</v>
          </cell>
          <cell r="I184" t="str">
            <v>Adquirido</v>
          </cell>
          <cell r="J184" t="str">
            <v xml:space="preserve">Philips </v>
          </cell>
          <cell r="K184" t="str">
            <v>Respironic V60</v>
          </cell>
          <cell r="L184">
            <v>201003004</v>
          </cell>
          <cell r="M184">
            <v>2011</v>
          </cell>
          <cell r="N184">
            <v>-4</v>
          </cell>
          <cell r="O184" t="str">
            <v>No Invasivo</v>
          </cell>
          <cell r="Q184" t="str">
            <v>Equipo es dado de baja el 24/07/2025 Eq. Con falla de tarjeta madre sin reparación</v>
          </cell>
        </row>
        <row r="185">
          <cell r="C185">
            <v>12</v>
          </cell>
          <cell r="D185" t="str">
            <v>2-112309</v>
          </cell>
          <cell r="E185" t="str">
            <v xml:space="preserve">Ventilador Mecánico </v>
          </cell>
          <cell r="F185" t="str">
            <v>UPC Adulto</v>
          </cell>
          <cell r="G185" t="str">
            <v>UCI Adulto</v>
          </cell>
          <cell r="H185" t="str">
            <v>UPC-P2-SA19</v>
          </cell>
          <cell r="I185" t="str">
            <v>Adquirido</v>
          </cell>
          <cell r="J185" t="str">
            <v xml:space="preserve">Philips </v>
          </cell>
          <cell r="K185" t="str">
            <v>Respironic V60</v>
          </cell>
          <cell r="L185">
            <v>201003006</v>
          </cell>
          <cell r="M185">
            <v>2011</v>
          </cell>
          <cell r="N185">
            <v>-4</v>
          </cell>
          <cell r="O185" t="str">
            <v>No Invasivo</v>
          </cell>
          <cell r="Q185" t="str">
            <v>Equipo es dado de baja 22-05-25. Su reparacion excede el 50% del valor de un equipo nuevo. Ademas se encuentra discontinuado y con su vida util cumplida.</v>
          </cell>
        </row>
        <row r="186">
          <cell r="C186">
            <v>13</v>
          </cell>
          <cell r="D186" t="str">
            <v>2-112308</v>
          </cell>
          <cell r="E186" t="str">
            <v xml:space="preserve">Ventilador Mecánico </v>
          </cell>
          <cell r="F186" t="str">
            <v>UPC Adulto</v>
          </cell>
          <cell r="G186" t="str">
            <v>UCI Adulto</v>
          </cell>
          <cell r="H186" t="str">
            <v>UPC-P2-SA19</v>
          </cell>
          <cell r="I186" t="str">
            <v>Adquirido</v>
          </cell>
          <cell r="J186" t="str">
            <v xml:space="preserve">Philips </v>
          </cell>
          <cell r="K186" t="str">
            <v>Respironic V60</v>
          </cell>
          <cell r="L186">
            <v>201003003</v>
          </cell>
          <cell r="M186">
            <v>2011</v>
          </cell>
          <cell r="N186">
            <v>-4</v>
          </cell>
          <cell r="O186" t="str">
            <v>No Invasivo</v>
          </cell>
          <cell r="Q186" t="str">
            <v>Equipo es dado de baja 22-05-25. Su reparacion excede el 50% del valor de un equipo nuevo. Ademas se encuentra discontinuado y con su vida util cumplida.</v>
          </cell>
        </row>
        <row r="187">
          <cell r="C187">
            <v>14</v>
          </cell>
          <cell r="E187" t="str">
            <v xml:space="preserve">Ventilador Mecánico </v>
          </cell>
          <cell r="N187" t="str">
            <v>Disponible</v>
          </cell>
        </row>
        <row r="188">
          <cell r="C188">
            <v>15</v>
          </cell>
          <cell r="D188" t="str">
            <v>2-121207</v>
          </cell>
          <cell r="E188" t="str">
            <v xml:space="preserve">Ventilador Mecánico </v>
          </cell>
          <cell r="F188" t="str">
            <v>UPC Adulto</v>
          </cell>
          <cell r="G188" t="str">
            <v>UCI Adulto</v>
          </cell>
          <cell r="I188" t="str">
            <v>Préstamo MINSAL</v>
          </cell>
          <cell r="J188" t="str">
            <v>MEK ICS</v>
          </cell>
          <cell r="K188" t="str">
            <v>MV2000 EVO5</v>
          </cell>
          <cell r="L188" t="str">
            <v>MV2000UA1D0838</v>
          </cell>
          <cell r="M188">
            <v>2021</v>
          </cell>
          <cell r="N188">
            <v>6</v>
          </cell>
          <cell r="O188" t="str">
            <v>Invasivo</v>
          </cell>
          <cell r="Q188" t="str">
            <v>Con fecha 30-09-2025 equipo es dado de baja</v>
          </cell>
          <cell r="R188" t="str">
            <v>Semestral</v>
          </cell>
        </row>
        <row r="189">
          <cell r="C189">
            <v>16</v>
          </cell>
          <cell r="D189" t="str">
            <v>2-003526</v>
          </cell>
          <cell r="E189" t="str">
            <v xml:space="preserve">Ventilador Mecánico </v>
          </cell>
          <cell r="F189" t="str">
            <v>UPC Adulto</v>
          </cell>
          <cell r="G189" t="str">
            <v>UCI Adulto</v>
          </cell>
          <cell r="H189" t="str">
            <v>UPC-P2-SA08</v>
          </cell>
          <cell r="I189" t="str">
            <v>Adquirido</v>
          </cell>
          <cell r="J189" t="str">
            <v xml:space="preserve">Drager </v>
          </cell>
          <cell r="K189" t="str">
            <v>Oxylog 3000</v>
          </cell>
          <cell r="L189" t="str">
            <v>ASCL-0116</v>
          </cell>
          <cell r="M189">
            <v>2011</v>
          </cell>
          <cell r="N189">
            <v>-4</v>
          </cell>
          <cell r="O189" t="str">
            <v>Transporte Invasivo</v>
          </cell>
          <cell r="R189" t="str">
            <v>Semestral</v>
          </cell>
        </row>
        <row r="190">
          <cell r="C190">
            <v>17</v>
          </cell>
          <cell r="D190" t="str">
            <v>2-116302</v>
          </cell>
          <cell r="E190" t="str">
            <v xml:space="preserve">Ventilador Mecánico </v>
          </cell>
          <cell r="F190" t="str">
            <v>UPC Pediátrica</v>
          </cell>
          <cell r="G190" t="str">
            <v>UCI Pediátrica</v>
          </cell>
          <cell r="H190" t="str">
            <v>Sala de equipos</v>
          </cell>
          <cell r="I190" t="str">
            <v>Arriendo</v>
          </cell>
          <cell r="J190" t="str">
            <v>Drager</v>
          </cell>
          <cell r="K190" t="str">
            <v>Evita V300</v>
          </cell>
          <cell r="L190" t="str">
            <v>ASJA-0097</v>
          </cell>
          <cell r="M190">
            <v>2018</v>
          </cell>
          <cell r="N190">
            <v>10</v>
          </cell>
          <cell r="O190" t="str">
            <v>Invasivo</v>
          </cell>
          <cell r="R190" t="str">
            <v>Semestral</v>
          </cell>
        </row>
        <row r="191">
          <cell r="C191">
            <v>18</v>
          </cell>
          <cell r="D191" t="str">
            <v>2-112310</v>
          </cell>
          <cell r="E191" t="str">
            <v xml:space="preserve">Ventilador Mecánico </v>
          </cell>
          <cell r="F191" t="str">
            <v>UPC Adulto</v>
          </cell>
          <cell r="G191" t="str">
            <v>UCI Adulto</v>
          </cell>
          <cell r="H191" t="str">
            <v>UPC-P2-SA19</v>
          </cell>
          <cell r="I191" t="str">
            <v>Adquirido</v>
          </cell>
          <cell r="J191" t="str">
            <v xml:space="preserve">Philips </v>
          </cell>
          <cell r="K191" t="str">
            <v>Respironic V60</v>
          </cell>
          <cell r="L191">
            <v>201003005</v>
          </cell>
          <cell r="M191">
            <v>2011</v>
          </cell>
          <cell r="N191">
            <v>-4</v>
          </cell>
          <cell r="O191" t="str">
            <v>No Invasivo</v>
          </cell>
          <cell r="Q191" t="str">
            <v>Equipo es dado de baja 22-05-25. Su reparacion excede el 50% del valor de un equipo nuevo. Ademas se encuentra discontinuado y con su vida util cumplida.</v>
          </cell>
          <cell r="R191" t="str">
            <v>Semestral</v>
          </cell>
        </row>
        <row r="192">
          <cell r="C192">
            <v>19</v>
          </cell>
          <cell r="D192" t="str">
            <v>2-112311</v>
          </cell>
          <cell r="E192" t="str">
            <v xml:space="preserve">Ventilador Mecánico </v>
          </cell>
          <cell r="F192" t="str">
            <v>UPC Cardiovascular</v>
          </cell>
          <cell r="G192" t="str">
            <v>UCI Cardiovascular</v>
          </cell>
          <cell r="H192" t="str">
            <v>SALA EQUIPOS</v>
          </cell>
          <cell r="I192" t="str">
            <v>Adquirido</v>
          </cell>
          <cell r="J192" t="str">
            <v>Puritan Bennett</v>
          </cell>
          <cell r="K192" t="str">
            <v>840/Sin Comp.</v>
          </cell>
          <cell r="L192">
            <v>3510094124</v>
          </cell>
          <cell r="M192">
            <v>2007</v>
          </cell>
          <cell r="N192">
            <v>-8</v>
          </cell>
          <cell r="O192" t="str">
            <v>Invasivo</v>
          </cell>
          <cell r="Q192" t="str">
            <v>Equipo de baja el 24-07-2025 vida últil cumplida y baja a solicitud del servicio</v>
          </cell>
          <cell r="R192" t="str">
            <v>Semestral</v>
          </cell>
        </row>
        <row r="193">
          <cell r="C193">
            <v>20</v>
          </cell>
          <cell r="D193" t="str">
            <v>121117-008357</v>
          </cell>
          <cell r="E193" t="str">
            <v xml:space="preserve">Ventilador Mecánico </v>
          </cell>
          <cell r="F193" t="str">
            <v>UPC Adulto</v>
          </cell>
          <cell r="G193" t="str">
            <v>UCI Adulto</v>
          </cell>
          <cell r="I193" t="str">
            <v>Préstamo de Hospital Pitrufquén</v>
          </cell>
          <cell r="J193" t="str">
            <v>Puritan Bennett</v>
          </cell>
          <cell r="K193">
            <v>980</v>
          </cell>
          <cell r="L193" t="str">
            <v>35B2004547</v>
          </cell>
          <cell r="M193">
            <v>2023</v>
          </cell>
          <cell r="N193">
            <v>8</v>
          </cell>
          <cell r="O193" t="str">
            <v>Invasivo</v>
          </cell>
          <cell r="Q193" t="str">
            <v>Equipo es devuelto al hospital de Pitrufquen el 11.11.2025 baja</v>
          </cell>
          <cell r="R193" t="str">
            <v>Semestral</v>
          </cell>
        </row>
        <row r="194">
          <cell r="C194">
            <v>21</v>
          </cell>
          <cell r="D194" t="str">
            <v>2-003462</v>
          </cell>
          <cell r="E194" t="str">
            <v xml:space="preserve">Ventilador Mecánico </v>
          </cell>
          <cell r="F194" t="str">
            <v>UPC Cardiovascular</v>
          </cell>
          <cell r="G194" t="str">
            <v>UCI Cardiovascular</v>
          </cell>
          <cell r="H194" t="str">
            <v>SALA EQUIPOS</v>
          </cell>
          <cell r="I194" t="str">
            <v>Adquirido</v>
          </cell>
          <cell r="J194" t="str">
            <v>Puritan Bennett</v>
          </cell>
          <cell r="K194" t="str">
            <v>840/Sin Comp.</v>
          </cell>
          <cell r="L194">
            <v>3510094107</v>
          </cell>
          <cell r="M194">
            <v>2007</v>
          </cell>
          <cell r="N194">
            <v>-8</v>
          </cell>
          <cell r="O194" t="str">
            <v>Invasivo</v>
          </cell>
          <cell r="R194" t="str">
            <v>Semestral</v>
          </cell>
        </row>
        <row r="195">
          <cell r="C195">
            <v>22</v>
          </cell>
          <cell r="D195" t="str">
            <v>2-135144</v>
          </cell>
          <cell r="E195" t="str">
            <v xml:space="preserve">Ventilador Mecánico </v>
          </cell>
          <cell r="F195" t="str">
            <v>SAMU</v>
          </cell>
          <cell r="G195" t="str">
            <v>SAMU</v>
          </cell>
          <cell r="I195" t="str">
            <v>Adquirido</v>
          </cell>
          <cell r="J195" t="str">
            <v>Medtronic</v>
          </cell>
          <cell r="K195" t="str">
            <v>HT70 PLUS</v>
          </cell>
          <cell r="L195" t="str">
            <v>HT7P200663</v>
          </cell>
          <cell r="M195">
            <v>2025</v>
          </cell>
          <cell r="N195">
            <v>10</v>
          </cell>
        </row>
        <row r="196">
          <cell r="C196">
            <v>23</v>
          </cell>
          <cell r="D196" t="str">
            <v>2-112312</v>
          </cell>
          <cell r="E196" t="str">
            <v xml:space="preserve">Ventilador Mecánico </v>
          </cell>
          <cell r="F196" t="str">
            <v>UPC Cardiovascular</v>
          </cell>
          <cell r="G196" t="str">
            <v>UCI Cardiovascular</v>
          </cell>
          <cell r="H196" t="str">
            <v>SALA EQUIPOS</v>
          </cell>
          <cell r="I196" t="str">
            <v>Adquirido</v>
          </cell>
          <cell r="J196" t="str">
            <v>Puritan Bennett</v>
          </cell>
          <cell r="K196">
            <v>840</v>
          </cell>
          <cell r="L196">
            <v>3510052925</v>
          </cell>
          <cell r="M196">
            <v>2007</v>
          </cell>
          <cell r="N196">
            <v>-8</v>
          </cell>
          <cell r="O196" t="str">
            <v>Invasivo</v>
          </cell>
          <cell r="Q196" t="str">
            <v>Equipo dado de baja debido a que repuesto se encuentra discontinuado</v>
          </cell>
          <cell r="R196" t="str">
            <v>Semestral</v>
          </cell>
        </row>
        <row r="197">
          <cell r="C197">
            <v>24</v>
          </cell>
          <cell r="D197" t="str">
            <v>121117-009319</v>
          </cell>
          <cell r="E197" t="str">
            <v xml:space="preserve">Ventilador Mecánico </v>
          </cell>
          <cell r="F197" t="str">
            <v>UPC Adulto</v>
          </cell>
          <cell r="G197" t="str">
            <v>UCI Adulto</v>
          </cell>
          <cell r="I197" t="str">
            <v>Préstamo de Hospital Pitrufquén</v>
          </cell>
          <cell r="J197" t="str">
            <v>Puritan Bennett</v>
          </cell>
          <cell r="K197">
            <v>980</v>
          </cell>
          <cell r="L197" t="str">
            <v>35B2015013</v>
          </cell>
          <cell r="M197">
            <v>2023</v>
          </cell>
          <cell r="N197">
            <v>8</v>
          </cell>
          <cell r="O197" t="str">
            <v>Invasivo</v>
          </cell>
          <cell r="Q197" t="str">
            <v>Equipo es devuelto al hospital de pitrufquén el 11.11.2025 baja</v>
          </cell>
          <cell r="R197" t="str">
            <v>Semestral</v>
          </cell>
        </row>
        <row r="198">
          <cell r="C198">
            <v>25</v>
          </cell>
          <cell r="D198" t="str">
            <v>2-003461</v>
          </cell>
          <cell r="E198" t="str">
            <v xml:space="preserve">Ventilador Mecánico </v>
          </cell>
          <cell r="F198" t="str">
            <v>UPC Cardiovascular</v>
          </cell>
          <cell r="G198" t="str">
            <v>UCI Cardiovascular</v>
          </cell>
          <cell r="H198" t="str">
            <v>SALA EQUIPOS</v>
          </cell>
          <cell r="I198" t="str">
            <v>Adquirido</v>
          </cell>
          <cell r="J198" t="str">
            <v>Puritan Bennett</v>
          </cell>
          <cell r="K198">
            <v>840</v>
          </cell>
          <cell r="L198">
            <v>3510053116</v>
          </cell>
          <cell r="M198">
            <v>2007</v>
          </cell>
          <cell r="N198">
            <v>-8</v>
          </cell>
          <cell r="O198" t="str">
            <v>Invasivo</v>
          </cell>
          <cell r="R198" t="str">
            <v>Semestral</v>
          </cell>
        </row>
        <row r="199">
          <cell r="C199">
            <v>26</v>
          </cell>
          <cell r="D199" t="str">
            <v>2-003452</v>
          </cell>
          <cell r="E199" t="str">
            <v xml:space="preserve">Ventilador Mecánico </v>
          </cell>
          <cell r="F199" t="str">
            <v>UPC Cardiovascular</v>
          </cell>
          <cell r="G199" t="str">
            <v>UCI Cardiovascular</v>
          </cell>
          <cell r="H199" t="str">
            <v>SALA EQUIPOS</v>
          </cell>
          <cell r="I199" t="str">
            <v>Adquirido</v>
          </cell>
          <cell r="J199" t="str">
            <v>Puritan Bennett</v>
          </cell>
          <cell r="K199">
            <v>840</v>
          </cell>
          <cell r="L199">
            <v>3510053070</v>
          </cell>
          <cell r="M199">
            <v>2007</v>
          </cell>
          <cell r="N199">
            <v>-8</v>
          </cell>
          <cell r="O199" t="str">
            <v>Invasivo</v>
          </cell>
          <cell r="R199" t="str">
            <v>Semestral</v>
          </cell>
        </row>
        <row r="200">
          <cell r="C200">
            <v>27</v>
          </cell>
          <cell r="D200" t="str">
            <v>121117-009066</v>
          </cell>
          <cell r="E200" t="str">
            <v xml:space="preserve">Ventilador Mecánico </v>
          </cell>
          <cell r="F200" t="str">
            <v>UPC Adulto</v>
          </cell>
          <cell r="G200" t="str">
            <v>UCI Adulto</v>
          </cell>
          <cell r="I200" t="str">
            <v>Préstamo de Hospital Pitrufquén</v>
          </cell>
          <cell r="J200" t="str">
            <v>Puritan Bennett</v>
          </cell>
          <cell r="K200">
            <v>980</v>
          </cell>
          <cell r="L200" t="str">
            <v>35B2014970</v>
          </cell>
          <cell r="M200">
            <v>2023</v>
          </cell>
          <cell r="N200">
            <v>8</v>
          </cell>
          <cell r="O200" t="str">
            <v>Invasivo</v>
          </cell>
          <cell r="Q200" t="str">
            <v>Equipo es devuelto al hospital de Pitrufquen el 11.11.2025 baja</v>
          </cell>
          <cell r="R200" t="str">
            <v>Semestral</v>
          </cell>
        </row>
        <row r="201">
          <cell r="C201">
            <v>28</v>
          </cell>
          <cell r="D201" t="str">
            <v>2-112294</v>
          </cell>
          <cell r="E201" t="str">
            <v>Ventilador Alta Frecuencia</v>
          </cell>
          <cell r="F201" t="str">
            <v xml:space="preserve">UPC Pediátrica </v>
          </cell>
          <cell r="G201" t="str">
            <v>UCI Pediátrica</v>
          </cell>
          <cell r="H201" t="str">
            <v>UPC-P2-SA44</v>
          </cell>
          <cell r="I201" t="str">
            <v>Adquirido</v>
          </cell>
          <cell r="J201" t="str">
            <v>CareFusion</v>
          </cell>
          <cell r="K201" t="str">
            <v xml:space="preserve">Sensormedics 3100A </v>
          </cell>
          <cell r="L201" t="str">
            <v>AJW01025</v>
          </cell>
          <cell r="M201">
            <v>2008</v>
          </cell>
          <cell r="N201">
            <v>-7</v>
          </cell>
          <cell r="O201" t="str">
            <v>Invasivo</v>
          </cell>
          <cell r="R201" t="str">
            <v>Semestral</v>
          </cell>
        </row>
        <row r="202">
          <cell r="C202">
            <v>29</v>
          </cell>
          <cell r="D202" t="str">
            <v>2-119687</v>
          </cell>
          <cell r="E202" t="str">
            <v xml:space="preserve">Ventilador Mecánico </v>
          </cell>
          <cell r="F202" t="str">
            <v>UPC Adulto</v>
          </cell>
          <cell r="G202" t="str">
            <v>UCI Adulto</v>
          </cell>
          <cell r="H202" t="str">
            <v>UPC-P2-BG14</v>
          </cell>
          <cell r="I202" t="str">
            <v>Adquirido</v>
          </cell>
          <cell r="J202" t="str">
            <v>Drager</v>
          </cell>
          <cell r="K202" t="str">
            <v>Evita V300/SC</v>
          </cell>
          <cell r="L202" t="str">
            <v>ASLE-0157</v>
          </cell>
          <cell r="M202">
            <v>2020</v>
          </cell>
          <cell r="N202">
            <v>5</v>
          </cell>
          <cell r="O202" t="str">
            <v>Invasivo</v>
          </cell>
          <cell r="R202" t="str">
            <v>Semestral</v>
          </cell>
        </row>
        <row r="203">
          <cell r="C203">
            <v>30</v>
          </cell>
          <cell r="D203" t="str">
            <v>2-121208</v>
          </cell>
          <cell r="E203" t="str">
            <v xml:space="preserve">Ventilador Mecánico </v>
          </cell>
          <cell r="F203" t="str">
            <v>UPC Adulto</v>
          </cell>
          <cell r="G203" t="str">
            <v>UCI Adulto</v>
          </cell>
          <cell r="I203" t="str">
            <v>Préstamo MINSAL</v>
          </cell>
          <cell r="J203" t="str">
            <v>MEK ICS</v>
          </cell>
          <cell r="K203" t="str">
            <v>MV2000 EVO5</v>
          </cell>
          <cell r="L203" t="str">
            <v>MV2000UA1D0803</v>
          </cell>
          <cell r="M203">
            <v>2021</v>
          </cell>
          <cell r="N203">
            <v>6</v>
          </cell>
          <cell r="O203" t="str">
            <v>Invasivo</v>
          </cell>
          <cell r="R203" t="str">
            <v>Semestral</v>
          </cell>
        </row>
        <row r="204">
          <cell r="C204">
            <v>31</v>
          </cell>
          <cell r="D204" t="str">
            <v>2-121209</v>
          </cell>
          <cell r="E204" t="str">
            <v xml:space="preserve">Ventilador Mecánico </v>
          </cell>
          <cell r="F204" t="str">
            <v>UPC Adulto</v>
          </cell>
          <cell r="G204" t="str">
            <v>UCI Adulto</v>
          </cell>
          <cell r="I204" t="str">
            <v>Préstamo MINSAL</v>
          </cell>
          <cell r="J204" t="str">
            <v>MEK ICS</v>
          </cell>
          <cell r="K204" t="str">
            <v>MV2000 EVO5</v>
          </cell>
          <cell r="L204" t="str">
            <v>MV2000UA1D0806</v>
          </cell>
          <cell r="M204">
            <v>2021</v>
          </cell>
          <cell r="N204">
            <v>6</v>
          </cell>
          <cell r="O204" t="str">
            <v>Invasivo</v>
          </cell>
          <cell r="Q204" t="str">
            <v>Equipo es dado de baja con fecha 30-09-2025</v>
          </cell>
          <cell r="R204" t="str">
            <v>Semestral</v>
          </cell>
        </row>
        <row r="205">
          <cell r="C205">
            <v>32</v>
          </cell>
          <cell r="D205" t="str">
            <v>2-112298</v>
          </cell>
          <cell r="E205" t="str">
            <v xml:space="preserve">Ventilador Mecánico </v>
          </cell>
          <cell r="F205" t="str">
            <v xml:space="preserve">UPC Pediátrica </v>
          </cell>
          <cell r="G205" t="str">
            <v>UCI Pediátrica</v>
          </cell>
          <cell r="H205" t="str">
            <v>UPC-P2-SA44</v>
          </cell>
          <cell r="I205" t="str">
            <v>Adquirido</v>
          </cell>
          <cell r="J205" t="str">
            <v>Maquet</v>
          </cell>
          <cell r="K205" t="str">
            <v>Servo i</v>
          </cell>
          <cell r="L205">
            <v>15062</v>
          </cell>
          <cell r="M205">
            <v>2004</v>
          </cell>
          <cell r="N205">
            <v>-11</v>
          </cell>
          <cell r="O205" t="str">
            <v>Invasivo</v>
          </cell>
          <cell r="Q205" t="str">
            <v>Se deben reemplazar filtro de ventilacion forzada y celda de o2. 07-04-25</v>
          </cell>
          <cell r="R205" t="str">
            <v>Semestral</v>
          </cell>
        </row>
        <row r="206">
          <cell r="C206">
            <v>33</v>
          </cell>
          <cell r="D206" t="str">
            <v>2-112299</v>
          </cell>
          <cell r="E206" t="str">
            <v xml:space="preserve">Ventilador Mecánico </v>
          </cell>
          <cell r="F206" t="str">
            <v xml:space="preserve">UPC Pediátrica </v>
          </cell>
          <cell r="G206" t="str">
            <v>UCI Pediátrica</v>
          </cell>
          <cell r="H206" t="str">
            <v>UPC-P2-SA44</v>
          </cell>
          <cell r="I206" t="str">
            <v>Adquirido</v>
          </cell>
          <cell r="J206" t="str">
            <v>Maquet</v>
          </cell>
          <cell r="K206" t="str">
            <v>Servo i</v>
          </cell>
          <cell r="L206">
            <v>27409</v>
          </cell>
          <cell r="M206">
            <v>2005</v>
          </cell>
          <cell r="N206">
            <v>-10</v>
          </cell>
          <cell r="O206" t="str">
            <v>Invasivo</v>
          </cell>
          <cell r="Q206" t="str">
            <v>Se deben reemplazar filtros laterales y filtro de ventilacion forzada. 07-04-25</v>
          </cell>
          <cell r="R206" t="str">
            <v>Semestral</v>
          </cell>
        </row>
        <row r="207">
          <cell r="C207">
            <v>34</v>
          </cell>
          <cell r="D207" t="str">
            <v>N/A</v>
          </cell>
          <cell r="E207" t="str">
            <v xml:space="preserve">Ventilador Mecánico </v>
          </cell>
          <cell r="F207" t="str">
            <v>UPC Adulto</v>
          </cell>
          <cell r="I207" t="str">
            <v>Demostración</v>
          </cell>
          <cell r="J207" t="str">
            <v>Mindray</v>
          </cell>
          <cell r="K207" t="str">
            <v>SV70</v>
          </cell>
          <cell r="L207" t="str">
            <v>AV1-36002782</v>
          </cell>
          <cell r="M207">
            <v>2025</v>
          </cell>
          <cell r="N207">
            <v>10</v>
          </cell>
          <cell r="O207" t="str">
            <v>Invasivo</v>
          </cell>
          <cell r="Q207" t="str">
            <v>Equipo es retirado por la empresa de servicio tecnico baja</v>
          </cell>
          <cell r="R207" t="str">
            <v>Semestral</v>
          </cell>
        </row>
        <row r="208">
          <cell r="C208">
            <v>35</v>
          </cell>
          <cell r="D208" t="str">
            <v>2-112301</v>
          </cell>
          <cell r="E208" t="str">
            <v xml:space="preserve">Ventilador Mecánico </v>
          </cell>
          <cell r="F208" t="str">
            <v xml:space="preserve">UPC Pediátrica </v>
          </cell>
          <cell r="G208" t="str">
            <v>UCI Pediátrica</v>
          </cell>
          <cell r="H208" t="str">
            <v>UPC-P2-SA44</v>
          </cell>
          <cell r="I208" t="str">
            <v>Adquirido</v>
          </cell>
          <cell r="J208" t="str">
            <v>Maquet</v>
          </cell>
          <cell r="K208" t="str">
            <v>Servo i RM</v>
          </cell>
          <cell r="L208">
            <v>27406</v>
          </cell>
          <cell r="M208">
            <v>2005</v>
          </cell>
          <cell r="N208">
            <v>-10</v>
          </cell>
          <cell r="O208" t="str">
            <v>Invasivo</v>
          </cell>
          <cell r="Q208" t="str">
            <v>Equipo no pasa la MP del 24-10-2025, solicutud 19-18809 ST</v>
          </cell>
          <cell r="R208" t="str">
            <v>Semestral</v>
          </cell>
        </row>
        <row r="209">
          <cell r="C209">
            <v>36</v>
          </cell>
          <cell r="D209" t="str">
            <v>2-121210</v>
          </cell>
          <cell r="E209" t="str">
            <v xml:space="preserve">Ventilador Mecánico </v>
          </cell>
          <cell r="F209" t="str">
            <v>UPC Adulto</v>
          </cell>
          <cell r="G209" t="str">
            <v>UCI Adulto</v>
          </cell>
          <cell r="I209" t="str">
            <v>Préstamo MINSAL</v>
          </cell>
          <cell r="J209" t="str">
            <v>MEK ICS</v>
          </cell>
          <cell r="K209" t="str">
            <v>MV2000 EVO5</v>
          </cell>
          <cell r="L209" t="str">
            <v>MV2000UA1D0912</v>
          </cell>
          <cell r="M209">
            <v>2021</v>
          </cell>
          <cell r="N209">
            <v>6</v>
          </cell>
          <cell r="O209" t="str">
            <v>Invasivo</v>
          </cell>
          <cell r="Q209" t="str">
            <v>Equipo es dado de baja con fecha 30-09-2025</v>
          </cell>
          <cell r="R209" t="str">
            <v>Semestral</v>
          </cell>
        </row>
        <row r="210">
          <cell r="C210">
            <v>37</v>
          </cell>
          <cell r="D210" t="str">
            <v>2-125486</v>
          </cell>
          <cell r="E210" t="str">
            <v xml:space="preserve">Ventilador Mecánico </v>
          </cell>
          <cell r="F210" t="str">
            <v>UPC Pediátrica</v>
          </cell>
          <cell r="G210" t="str">
            <v>UPC Pediátrica</v>
          </cell>
          <cell r="H210" t="str">
            <v xml:space="preserve">Oficina </v>
          </cell>
          <cell r="I210" t="str">
            <v>Préstamo SSAN</v>
          </cell>
          <cell r="J210" t="str">
            <v>Philips</v>
          </cell>
          <cell r="K210" t="str">
            <v>Trilogy 202</v>
          </cell>
          <cell r="L210" t="str">
            <v>TV019111110</v>
          </cell>
          <cell r="M210">
            <v>2020</v>
          </cell>
          <cell r="N210">
            <v>5</v>
          </cell>
          <cell r="O210" t="str">
            <v>No Invasivo</v>
          </cell>
          <cell r="Q210" t="str">
            <v>Traspaso definitivo a la la UPC pediatrica</v>
          </cell>
          <cell r="R210" t="str">
            <v>Semestral</v>
          </cell>
        </row>
        <row r="211">
          <cell r="C211">
            <v>38</v>
          </cell>
          <cell r="D211" t="str">
            <v>2-116303</v>
          </cell>
          <cell r="E211" t="str">
            <v xml:space="preserve">Ventilador Mecánico </v>
          </cell>
          <cell r="F211" t="str">
            <v xml:space="preserve">UPC Pediátrica </v>
          </cell>
          <cell r="G211" t="str">
            <v>UCI Pediátrica</v>
          </cell>
          <cell r="H211" t="str">
            <v>Sala de equipos</v>
          </cell>
          <cell r="I211" t="str">
            <v>Arriendo</v>
          </cell>
          <cell r="J211" t="str">
            <v>Drager</v>
          </cell>
          <cell r="K211" t="str">
            <v>Evita V300</v>
          </cell>
          <cell r="L211" t="str">
            <v>ASJA-0098</v>
          </cell>
          <cell r="M211">
            <v>2018</v>
          </cell>
          <cell r="N211">
            <v>3</v>
          </cell>
          <cell r="O211" t="str">
            <v>Invasivo</v>
          </cell>
          <cell r="Q211" t="str">
            <v>Queda reemplazar cable de sensor de flujo 09-01-2024</v>
          </cell>
          <cell r="R211" t="str">
            <v>Semestral</v>
          </cell>
        </row>
        <row r="212">
          <cell r="C212">
            <v>39</v>
          </cell>
          <cell r="D212" t="str">
            <v>2-116304</v>
          </cell>
          <cell r="E212" t="str">
            <v xml:space="preserve">Ventilador Mecánico </v>
          </cell>
          <cell r="F212" t="str">
            <v xml:space="preserve">UPC Pediátrica </v>
          </cell>
          <cell r="G212" t="str">
            <v>UCI Pediátrica</v>
          </cell>
          <cell r="H212" t="str">
            <v>Sala de equipos</v>
          </cell>
          <cell r="I212" t="str">
            <v>Arriendo</v>
          </cell>
          <cell r="J212" t="str">
            <v>Drager</v>
          </cell>
          <cell r="K212" t="str">
            <v>Evita V300</v>
          </cell>
          <cell r="L212" t="str">
            <v>ASJF-0007</v>
          </cell>
          <cell r="M212">
            <v>2018</v>
          </cell>
          <cell r="N212">
            <v>10</v>
          </cell>
          <cell r="O212" t="str">
            <v>Invasivo</v>
          </cell>
          <cell r="R212" t="str">
            <v>Semestral</v>
          </cell>
        </row>
        <row r="213">
          <cell r="C213">
            <v>40</v>
          </cell>
          <cell r="D213" t="str">
            <v>2-116305</v>
          </cell>
          <cell r="E213" t="str">
            <v xml:space="preserve">Ventilador Mecánico </v>
          </cell>
          <cell r="F213" t="str">
            <v xml:space="preserve">UPC Pediátrica </v>
          </cell>
          <cell r="G213" t="str">
            <v>UCI Pediátrica</v>
          </cell>
          <cell r="H213" t="str">
            <v>Sala de equipos</v>
          </cell>
          <cell r="I213" t="str">
            <v>Arriendo</v>
          </cell>
          <cell r="J213" t="str">
            <v>Drager</v>
          </cell>
          <cell r="K213" t="str">
            <v>Evita V300</v>
          </cell>
          <cell r="L213" t="str">
            <v>ASJF-0008</v>
          </cell>
          <cell r="M213">
            <v>2018</v>
          </cell>
          <cell r="N213">
            <v>10</v>
          </cell>
          <cell r="O213" t="str">
            <v>Invasivo</v>
          </cell>
          <cell r="R213" t="str">
            <v>Semestral</v>
          </cell>
        </row>
        <row r="214">
          <cell r="C214">
            <v>41</v>
          </cell>
          <cell r="D214" t="str">
            <v>2-116306</v>
          </cell>
          <cell r="E214" t="str">
            <v xml:space="preserve">Ventilador Mecánico </v>
          </cell>
          <cell r="F214" t="str">
            <v>UPC Pediátrica</v>
          </cell>
          <cell r="G214" t="str">
            <v>UCI Pediátrica</v>
          </cell>
          <cell r="H214" t="str">
            <v>Sala de equipos</v>
          </cell>
          <cell r="I214" t="str">
            <v>Arriendo</v>
          </cell>
          <cell r="J214" t="str">
            <v>Drager</v>
          </cell>
          <cell r="K214" t="str">
            <v>Evita V300</v>
          </cell>
          <cell r="L214" t="str">
            <v>ASJL-0149</v>
          </cell>
          <cell r="M214">
            <v>2018</v>
          </cell>
          <cell r="N214">
            <v>10</v>
          </cell>
          <cell r="O214" t="str">
            <v>Invasivo</v>
          </cell>
          <cell r="R214" t="str">
            <v>Semestral</v>
          </cell>
        </row>
        <row r="215">
          <cell r="C215">
            <v>42</v>
          </cell>
          <cell r="D215" t="str">
            <v>2-116307</v>
          </cell>
          <cell r="E215" t="str">
            <v xml:space="preserve">Ventilador Mecánico </v>
          </cell>
          <cell r="F215" t="str">
            <v>UPC Pediátrica</v>
          </cell>
          <cell r="G215" t="str">
            <v>UCI Pediátrica</v>
          </cell>
          <cell r="H215" t="str">
            <v>Sala de equipos</v>
          </cell>
          <cell r="I215" t="str">
            <v>Arriendo</v>
          </cell>
          <cell r="J215" t="str">
            <v>Drager</v>
          </cell>
          <cell r="K215" t="str">
            <v>Evita V300</v>
          </cell>
          <cell r="L215" t="str">
            <v>ASJA-0099</v>
          </cell>
          <cell r="M215">
            <v>2018</v>
          </cell>
          <cell r="N215">
            <v>10</v>
          </cell>
          <cell r="O215" t="str">
            <v>Invasivo</v>
          </cell>
          <cell r="Q215" t="str">
            <v>Queda reemplazar cable de sensor de flujo 10-01-2024</v>
          </cell>
          <cell r="R215" t="str">
            <v>Semestral</v>
          </cell>
        </row>
        <row r="216">
          <cell r="C216">
            <v>43</v>
          </cell>
          <cell r="D216" t="str">
            <v>2-116308</v>
          </cell>
          <cell r="E216" t="str">
            <v xml:space="preserve">Ventilador Mecánico </v>
          </cell>
          <cell r="F216" t="str">
            <v>UPC Pediátrica</v>
          </cell>
          <cell r="G216" t="str">
            <v>UCI Pediátrica</v>
          </cell>
          <cell r="H216" t="str">
            <v>Sala de equipos</v>
          </cell>
          <cell r="I216" t="str">
            <v>Arriendo</v>
          </cell>
          <cell r="J216" t="str">
            <v>Drager</v>
          </cell>
          <cell r="K216" t="str">
            <v>Evita V300</v>
          </cell>
          <cell r="L216" t="str">
            <v>ASJA-0096</v>
          </cell>
          <cell r="M216">
            <v>2018</v>
          </cell>
          <cell r="N216">
            <v>10</v>
          </cell>
          <cell r="O216" t="str">
            <v>Invasivo</v>
          </cell>
          <cell r="R216" t="str">
            <v>Semestral</v>
          </cell>
        </row>
        <row r="217">
          <cell r="C217">
            <v>44</v>
          </cell>
          <cell r="D217" t="str">
            <v>2-013602</v>
          </cell>
          <cell r="E217" t="str">
            <v xml:space="preserve">Ventilador Mecánico </v>
          </cell>
          <cell r="F217" t="str">
            <v>UPC Adulto</v>
          </cell>
          <cell r="G217" t="str">
            <v>UCI Adulto</v>
          </cell>
          <cell r="H217" t="str">
            <v>UPC-P2-SA19</v>
          </cell>
          <cell r="I217" t="str">
            <v>Adquirido</v>
          </cell>
          <cell r="J217" t="str">
            <v xml:space="preserve">Drager </v>
          </cell>
          <cell r="K217" t="str">
            <v xml:space="preserve">Carina </v>
          </cell>
          <cell r="L217" t="str">
            <v>SRYM-0043</v>
          </cell>
          <cell r="M217">
            <v>2007</v>
          </cell>
          <cell r="N217">
            <v>-8</v>
          </cell>
          <cell r="O217" t="str">
            <v>No Invasivo</v>
          </cell>
          <cell r="Q217" t="str">
            <v>Equipo enviado a ST para su mantención preventiva #240</v>
          </cell>
          <cell r="R217" t="str">
            <v>Semestral</v>
          </cell>
        </row>
        <row r="218">
          <cell r="C218">
            <v>45</v>
          </cell>
          <cell r="D218" t="str">
            <v>2-112313</v>
          </cell>
          <cell r="E218" t="str">
            <v xml:space="preserve">Ventilador Mecánico </v>
          </cell>
          <cell r="F218" t="str">
            <v>Neonatología</v>
          </cell>
          <cell r="G218" t="str">
            <v>UCI Neonatología</v>
          </cell>
          <cell r="I218" t="str">
            <v>Adquirido</v>
          </cell>
          <cell r="J218" t="str">
            <v xml:space="preserve">Drager </v>
          </cell>
          <cell r="K218" t="str">
            <v>VN500</v>
          </cell>
          <cell r="L218" t="str">
            <v>ASDB-0042</v>
          </cell>
          <cell r="M218">
            <v>2012</v>
          </cell>
          <cell r="N218">
            <v>-3</v>
          </cell>
          <cell r="O218" t="str">
            <v>Invasivo</v>
          </cell>
          <cell r="Q218" t="str">
            <v>Equipo fuera de servicio ST</v>
          </cell>
          <cell r="R218" t="str">
            <v>Semestral</v>
          </cell>
        </row>
        <row r="219">
          <cell r="C219">
            <v>46</v>
          </cell>
          <cell r="D219" t="str">
            <v>2-027983</v>
          </cell>
          <cell r="E219" t="str">
            <v>Ventilador Alta Frecuencia</v>
          </cell>
          <cell r="F219" t="str">
            <v>Neonatología</v>
          </cell>
          <cell r="G219" t="str">
            <v>UCI Neonatología</v>
          </cell>
          <cell r="I219" t="str">
            <v>Adquirido</v>
          </cell>
          <cell r="J219" t="str">
            <v>CareFusion</v>
          </cell>
          <cell r="K219" t="str">
            <v>Sensormedics 3100A</v>
          </cell>
          <cell r="L219" t="str">
            <v>TMA24453</v>
          </cell>
          <cell r="M219">
            <v>2004</v>
          </cell>
          <cell r="N219">
            <v>-11</v>
          </cell>
          <cell r="O219" t="str">
            <v>Invasivo</v>
          </cell>
          <cell r="R219" t="str">
            <v>Semestral</v>
          </cell>
        </row>
        <row r="220">
          <cell r="C220">
            <v>47</v>
          </cell>
          <cell r="D220" t="str">
            <v>2-112304</v>
          </cell>
          <cell r="E220" t="str">
            <v>Ventilador Alta Frecuencia</v>
          </cell>
          <cell r="F220" t="str">
            <v>UPC Pediátrica</v>
          </cell>
          <cell r="G220" t="str">
            <v>UCI Pediátrica</v>
          </cell>
          <cell r="H220" t="str">
            <v>UPC-P2-SA44</v>
          </cell>
          <cell r="I220" t="str">
            <v>Adquirido</v>
          </cell>
          <cell r="J220" t="str">
            <v>CareFusion</v>
          </cell>
          <cell r="K220" t="str">
            <v>Sensormedics 3100B</v>
          </cell>
          <cell r="L220" t="str">
            <v>BBW01018</v>
          </cell>
          <cell r="M220">
            <v>2007</v>
          </cell>
          <cell r="N220">
            <v>-8</v>
          </cell>
          <cell r="O220" t="str">
            <v>Invasivo</v>
          </cell>
          <cell r="R220" t="str">
            <v>Semestral</v>
          </cell>
        </row>
        <row r="221">
          <cell r="C221">
            <v>48</v>
          </cell>
          <cell r="D221" t="str">
            <v>2-125487</v>
          </cell>
          <cell r="E221" t="str">
            <v xml:space="preserve">Ventilador Mecánico </v>
          </cell>
          <cell r="F221" t="str">
            <v>UPC Pediátrica</v>
          </cell>
          <cell r="G221" t="str">
            <v>UPC Pediátrica</v>
          </cell>
          <cell r="H221" t="str">
            <v xml:space="preserve">Oficina </v>
          </cell>
          <cell r="I221" t="str">
            <v>Préstamo SSAN</v>
          </cell>
          <cell r="J221" t="str">
            <v>Philips</v>
          </cell>
          <cell r="K221" t="str">
            <v>Trilogy 202</v>
          </cell>
          <cell r="L221" t="str">
            <v>TV020010610</v>
          </cell>
          <cell r="M221">
            <v>2020</v>
          </cell>
          <cell r="N221">
            <v>5</v>
          </cell>
          <cell r="O221" t="str">
            <v>No Invasivo</v>
          </cell>
          <cell r="Q221" t="str">
            <v>Equipo enviado a ST #224 el 22-10-2025 folio OT 19-17902</v>
          </cell>
          <cell r="R221" t="str">
            <v>Semestral</v>
          </cell>
        </row>
        <row r="222">
          <cell r="C222">
            <v>49</v>
          </cell>
          <cell r="D222" t="str">
            <v>2-125490</v>
          </cell>
          <cell r="E222" t="str">
            <v xml:space="preserve">Ventilador Mecánico </v>
          </cell>
          <cell r="F222" t="str">
            <v>Urgencia Adulto (Prestado a Urgencia Infantil)</v>
          </cell>
          <cell r="G222" t="str">
            <v>Urgencia Infantil</v>
          </cell>
          <cell r="H222" t="str">
            <v>Reanimación</v>
          </cell>
          <cell r="I222" t="str">
            <v>Préstamo SSAN</v>
          </cell>
          <cell r="J222" t="str">
            <v>Philips</v>
          </cell>
          <cell r="K222" t="str">
            <v>Trilogy 202</v>
          </cell>
          <cell r="L222" t="str">
            <v>TV019111203</v>
          </cell>
          <cell r="M222">
            <v>2020</v>
          </cell>
          <cell r="N222">
            <v>5</v>
          </cell>
          <cell r="O222" t="str">
            <v>No Invasivo</v>
          </cell>
          <cell r="Q222" t="str">
            <v>trazabilidad.</v>
          </cell>
          <cell r="R222" t="str">
            <v>Semestral</v>
          </cell>
        </row>
        <row r="223">
          <cell r="C223">
            <v>50</v>
          </cell>
          <cell r="D223" t="str">
            <v>2-118676</v>
          </cell>
          <cell r="E223" t="str">
            <v xml:space="preserve">Ventilador Mecánico </v>
          </cell>
          <cell r="F223" t="str">
            <v>Urgencia Adulto</v>
          </cell>
          <cell r="G223" t="str">
            <v>Urgencia Adulto</v>
          </cell>
          <cell r="H223" t="str">
            <v>Sala equipos SUA</v>
          </cell>
          <cell r="I223" t="str">
            <v>Traspaso</v>
          </cell>
          <cell r="J223" t="str">
            <v>Drager</v>
          </cell>
          <cell r="K223" t="str">
            <v xml:space="preserve">Carina </v>
          </cell>
          <cell r="L223" t="str">
            <v>ASHC-0026</v>
          </cell>
          <cell r="M223">
            <v>2019</v>
          </cell>
          <cell r="N223">
            <v>4</v>
          </cell>
          <cell r="O223" t="str">
            <v>No Invasivo</v>
          </cell>
          <cell r="Q223" t="str">
            <v>Equipo enviado a ST para su mantencion preventiva de noviembre</v>
          </cell>
          <cell r="R223" t="str">
            <v>Semestral</v>
          </cell>
        </row>
        <row r="224">
          <cell r="C224">
            <v>51</v>
          </cell>
          <cell r="D224" t="str">
            <v>2-119313</v>
          </cell>
          <cell r="E224" t="str">
            <v xml:space="preserve">Ventilador Mecánico </v>
          </cell>
          <cell r="F224" t="str">
            <v>UPC Cardiovascular</v>
          </cell>
          <cell r="G224" t="str">
            <v>UCI Cardiovascular</v>
          </cell>
          <cell r="H224" t="str">
            <v>SALA EQUIPOS</v>
          </cell>
          <cell r="I224" t="str">
            <v>Adquirido</v>
          </cell>
          <cell r="J224" t="str">
            <v>Philips</v>
          </cell>
          <cell r="K224" t="str">
            <v>Respironic V60</v>
          </cell>
          <cell r="L224">
            <v>201038729</v>
          </cell>
          <cell r="M224">
            <v>2019</v>
          </cell>
          <cell r="N224">
            <v>4</v>
          </cell>
          <cell r="O224" t="str">
            <v>No Invasivo</v>
          </cell>
          <cell r="Q224" t="str">
            <v>Se recomienda cambio de bater√≠a 15-10-24.</v>
          </cell>
          <cell r="R224" t="str">
            <v>Semestral</v>
          </cell>
        </row>
        <row r="225">
          <cell r="C225">
            <v>52</v>
          </cell>
          <cell r="D225" t="str">
            <v>2-125491</v>
          </cell>
          <cell r="E225" t="str">
            <v xml:space="preserve">Ventilador Mecánico </v>
          </cell>
          <cell r="F225" t="str">
            <v>Urgencia Adulto</v>
          </cell>
          <cell r="G225" t="str">
            <v>Urgencia Adulto</v>
          </cell>
          <cell r="H225" t="str">
            <v>Sala equipos SUA</v>
          </cell>
          <cell r="I225" t="str">
            <v>Préstamo SSAN</v>
          </cell>
          <cell r="J225" t="str">
            <v>Philips</v>
          </cell>
          <cell r="K225" t="str">
            <v>Trilogy 202</v>
          </cell>
          <cell r="L225" t="str">
            <v>TV02001060B</v>
          </cell>
          <cell r="M225">
            <v>2020</v>
          </cell>
          <cell r="N225">
            <v>5</v>
          </cell>
          <cell r="O225" t="str">
            <v>No Invasivo</v>
          </cell>
          <cell r="R225" t="str">
            <v>Semestral</v>
          </cell>
        </row>
        <row r="226">
          <cell r="C226">
            <v>53</v>
          </cell>
          <cell r="D226" t="str">
            <v>2-116288</v>
          </cell>
          <cell r="E226" t="str">
            <v xml:space="preserve">Ventilador Mecánico </v>
          </cell>
          <cell r="F226" t="str">
            <v>Neonatología</v>
          </cell>
          <cell r="G226" t="str">
            <v>UCI Neonatología</v>
          </cell>
          <cell r="I226" t="str">
            <v>Arriendo</v>
          </cell>
          <cell r="J226" t="str">
            <v>Drager</v>
          </cell>
          <cell r="K226" t="str">
            <v>VN500</v>
          </cell>
          <cell r="L226" t="str">
            <v>ASJL-0099</v>
          </cell>
          <cell r="M226">
            <v>2018</v>
          </cell>
          <cell r="N226">
            <v>10</v>
          </cell>
          <cell r="O226" t="str">
            <v>Invasivo</v>
          </cell>
          <cell r="R226" t="str">
            <v>Semestral</v>
          </cell>
        </row>
        <row r="227">
          <cell r="C227">
            <v>54</v>
          </cell>
          <cell r="D227" t="str">
            <v>2-125488</v>
          </cell>
          <cell r="E227" t="str">
            <v xml:space="preserve">Ventilador Mecánico </v>
          </cell>
          <cell r="F227" t="str">
            <v>UPC Pediátrica</v>
          </cell>
          <cell r="G227" t="str">
            <v>UPC Pediátrica</v>
          </cell>
          <cell r="H227" t="str">
            <v xml:space="preserve">Oficina </v>
          </cell>
          <cell r="I227" t="str">
            <v>Préstamo SSAN</v>
          </cell>
          <cell r="J227" t="str">
            <v>Philips</v>
          </cell>
          <cell r="K227" t="str">
            <v>Trilogy 202</v>
          </cell>
          <cell r="L227" t="str">
            <v>TV020010608</v>
          </cell>
          <cell r="M227">
            <v>2020</v>
          </cell>
          <cell r="N227">
            <v>5</v>
          </cell>
          <cell r="O227" t="str">
            <v>No Invasivo</v>
          </cell>
          <cell r="Q227" t="str">
            <v>Traspaso definitivo a la la UPC pediatrica</v>
          </cell>
        </row>
        <row r="228">
          <cell r="C228">
            <v>55</v>
          </cell>
          <cell r="D228" t="str">
            <v>2-116289</v>
          </cell>
          <cell r="E228" t="str">
            <v xml:space="preserve">Ventilador Mecánico </v>
          </cell>
          <cell r="F228" t="str">
            <v>Neonatología</v>
          </cell>
          <cell r="G228" t="str">
            <v>UCI Neonatología</v>
          </cell>
          <cell r="I228" t="str">
            <v>Arriendo</v>
          </cell>
          <cell r="J228" t="str">
            <v>Drager</v>
          </cell>
          <cell r="K228" t="str">
            <v>VN500</v>
          </cell>
          <cell r="L228" t="str">
            <v>ASKK-0196</v>
          </cell>
          <cell r="M228">
            <v>2018</v>
          </cell>
          <cell r="N228">
            <v>10</v>
          </cell>
          <cell r="O228" t="str">
            <v>Invasivo</v>
          </cell>
          <cell r="R228" t="str">
            <v>Semestral</v>
          </cell>
        </row>
        <row r="229">
          <cell r="C229">
            <v>56</v>
          </cell>
          <cell r="D229" t="str">
            <v>2-121211</v>
          </cell>
          <cell r="E229" t="str">
            <v xml:space="preserve">Ventilador Mecánico </v>
          </cell>
          <cell r="F229" t="str">
            <v>UPC Adulto</v>
          </cell>
          <cell r="G229" t="str">
            <v>UCI Adulto</v>
          </cell>
          <cell r="I229" t="str">
            <v>Préstamo MINSAL</v>
          </cell>
          <cell r="J229" t="str">
            <v>MEK ICS</v>
          </cell>
          <cell r="K229" t="str">
            <v>MV2000 EVO5</v>
          </cell>
          <cell r="L229" t="str">
            <v>MV2000UA1D0901</v>
          </cell>
          <cell r="M229">
            <v>2021</v>
          </cell>
          <cell r="N229">
            <v>6</v>
          </cell>
          <cell r="O229" t="str">
            <v>Invasivo</v>
          </cell>
          <cell r="Q229" t="str">
            <v>Equipo es dado de baja con fecha 30-09-2025</v>
          </cell>
          <cell r="R229" t="str">
            <v>Semestral</v>
          </cell>
        </row>
        <row r="230">
          <cell r="C230">
            <v>57</v>
          </cell>
          <cell r="D230" t="str">
            <v>2-121212</v>
          </cell>
          <cell r="E230" t="str">
            <v xml:space="preserve">Ventilador Mecánico </v>
          </cell>
          <cell r="F230" t="str">
            <v>UPC Adulto</v>
          </cell>
          <cell r="G230" t="str">
            <v>UCI Adulto</v>
          </cell>
          <cell r="I230" t="str">
            <v>Préstamo MINSAL</v>
          </cell>
          <cell r="J230" t="str">
            <v>MEK ICS</v>
          </cell>
          <cell r="K230" t="str">
            <v>MV2000 EVO5</v>
          </cell>
          <cell r="L230" t="str">
            <v>MV2000UA1D0988</v>
          </cell>
          <cell r="M230">
            <v>2021</v>
          </cell>
          <cell r="N230">
            <v>6</v>
          </cell>
          <cell r="O230" t="str">
            <v>Invasivo</v>
          </cell>
          <cell r="Q230" t="str">
            <v>Equipo es dado de baja con fecha 30-09-2025</v>
          </cell>
          <cell r="R230" t="str">
            <v>Semestral</v>
          </cell>
        </row>
        <row r="231">
          <cell r="C231">
            <v>58</v>
          </cell>
          <cell r="D231" t="str">
            <v>121117-008358</v>
          </cell>
          <cell r="E231" t="str">
            <v xml:space="preserve">Ventilador Mecánico </v>
          </cell>
          <cell r="F231" t="str">
            <v>UPC Adulto</v>
          </cell>
          <cell r="G231" t="str">
            <v>UCI Adulto</v>
          </cell>
          <cell r="I231" t="str">
            <v>Préstamo de Hospital Pitrufquén</v>
          </cell>
          <cell r="J231" t="str">
            <v>Puritan Bennett</v>
          </cell>
          <cell r="K231">
            <v>840</v>
          </cell>
          <cell r="L231">
            <v>3512202223</v>
          </cell>
          <cell r="M231">
            <v>2023</v>
          </cell>
          <cell r="N231">
            <v>10</v>
          </cell>
          <cell r="O231" t="str">
            <v>Invasivo</v>
          </cell>
          <cell r="Q231" t="str">
            <v>Equipo es devuelto al hospital de Pitrufquen el 11.11.2025 baja</v>
          </cell>
          <cell r="R231" t="str">
            <v>Semestral</v>
          </cell>
        </row>
        <row r="232">
          <cell r="C232">
            <v>59</v>
          </cell>
          <cell r="D232" t="str">
            <v>2-121213</v>
          </cell>
          <cell r="E232" t="str">
            <v xml:space="preserve">Ventilador Mecánico </v>
          </cell>
          <cell r="F232" t="str">
            <v>UPC Adulto</v>
          </cell>
          <cell r="G232" t="str">
            <v>UCI Adulto</v>
          </cell>
          <cell r="I232" t="str">
            <v>Préstamo MINSAL</v>
          </cell>
          <cell r="J232" t="str">
            <v>MEK ICS</v>
          </cell>
          <cell r="K232" t="str">
            <v>MV2000 EVO5</v>
          </cell>
          <cell r="L232" t="str">
            <v>MV2000UA1D0985</v>
          </cell>
          <cell r="M232">
            <v>2021</v>
          </cell>
          <cell r="N232">
            <v>6</v>
          </cell>
          <cell r="O232" t="str">
            <v>Invasivo</v>
          </cell>
          <cell r="Q232" t="str">
            <v>Equipo es dado de baja con fecha 30-09-2025</v>
          </cell>
          <cell r="R232" t="str">
            <v>Semestral</v>
          </cell>
        </row>
        <row r="233">
          <cell r="C233">
            <v>60</v>
          </cell>
          <cell r="D233" t="str">
            <v>2-125401</v>
          </cell>
          <cell r="E233" t="str">
            <v xml:space="preserve">Ventilador Mecánico </v>
          </cell>
          <cell r="F233" t="str">
            <v>SAMU</v>
          </cell>
          <cell r="G233" t="str">
            <v>SAMU</v>
          </cell>
          <cell r="I233" t="str">
            <v>Arriendo</v>
          </cell>
          <cell r="J233" t="str">
            <v>Hamilton</v>
          </cell>
          <cell r="K233" t="str">
            <v>T1</v>
          </cell>
          <cell r="L233">
            <v>27365</v>
          </cell>
          <cell r="M233">
            <v>2023</v>
          </cell>
          <cell r="N233">
            <v>8</v>
          </cell>
          <cell r="O233" t="str">
            <v>Transporte Invasivo</v>
          </cell>
          <cell r="Q233" t="str">
            <v>En garant√≠a hasta 09/25. 1 MP Anual</v>
          </cell>
          <cell r="R233" t="str">
            <v>Semestral</v>
          </cell>
        </row>
        <row r="234">
          <cell r="C234">
            <v>61</v>
          </cell>
          <cell r="D234" t="str">
            <v>2-112320</v>
          </cell>
          <cell r="E234" t="str">
            <v xml:space="preserve">Ventilador Mecánico </v>
          </cell>
          <cell r="F234" t="str">
            <v>Urgencia Adulto</v>
          </cell>
          <cell r="G234" t="str">
            <v>Urgencia Adulto</v>
          </cell>
          <cell r="H234" t="str">
            <v>Sala equipos SUA</v>
          </cell>
          <cell r="I234" t="str">
            <v>Adquirido</v>
          </cell>
          <cell r="J234" t="str">
            <v>Drager</v>
          </cell>
          <cell r="K234" t="str">
            <v>Oxylog 3000</v>
          </cell>
          <cell r="L234" t="str">
            <v>ASCL-0118</v>
          </cell>
          <cell r="M234">
            <v>2011</v>
          </cell>
          <cell r="N234">
            <v>-4</v>
          </cell>
          <cell r="O234" t="str">
            <v>Transporte Invasivo</v>
          </cell>
          <cell r="Q234" t="str">
            <v>Se debe cambiar sistema AGSS 19-11-24</v>
          </cell>
          <cell r="R234" t="str">
            <v>Semestral</v>
          </cell>
        </row>
        <row r="235">
          <cell r="C235">
            <v>62</v>
          </cell>
          <cell r="D235" t="str">
            <v>N/A</v>
          </cell>
          <cell r="E235" t="str">
            <v xml:space="preserve">Ventilador Mecánico </v>
          </cell>
          <cell r="F235" t="str">
            <v>UPC Adulto</v>
          </cell>
          <cell r="G235" t="str">
            <v>UTI Adulto</v>
          </cell>
          <cell r="I235" t="str">
            <v>Demostración</v>
          </cell>
          <cell r="J235" t="str">
            <v>Philips</v>
          </cell>
          <cell r="K235" t="str">
            <v>EV300</v>
          </cell>
          <cell r="L235" t="str">
            <v>H377386649137</v>
          </cell>
          <cell r="M235">
            <v>2025</v>
          </cell>
          <cell r="N235">
            <v>10</v>
          </cell>
          <cell r="Q235" t="str">
            <v>Equipo en demostracion</v>
          </cell>
        </row>
        <row r="236">
          <cell r="C236">
            <v>63</v>
          </cell>
          <cell r="D236" t="str">
            <v>2-007500</v>
          </cell>
          <cell r="E236" t="str">
            <v xml:space="preserve">Ventilador Mecánico </v>
          </cell>
          <cell r="F236" t="str">
            <v>UPC Adulto</v>
          </cell>
          <cell r="G236" t="str">
            <v>UCI Adulto</v>
          </cell>
          <cell r="I236" t="str">
            <v>Adquirido</v>
          </cell>
          <cell r="J236" t="str">
            <v>Puritan Bennett</v>
          </cell>
          <cell r="K236" t="str">
            <v>840/Sin Comp.</v>
          </cell>
          <cell r="L236">
            <v>3510053115</v>
          </cell>
          <cell r="M236">
            <v>2010</v>
          </cell>
          <cell r="N236">
            <v>-5</v>
          </cell>
          <cell r="O236" t="str">
            <v>Invasivo</v>
          </cell>
          <cell r="R236" t="str">
            <v>Semestral</v>
          </cell>
        </row>
        <row r="237">
          <cell r="C237">
            <v>64</v>
          </cell>
          <cell r="D237" t="str">
            <v>2-121785</v>
          </cell>
          <cell r="E237" t="str">
            <v xml:space="preserve">Ventilador Mecánico </v>
          </cell>
          <cell r="F237" t="str">
            <v>UPC Cardiovascular</v>
          </cell>
          <cell r="G237" t="str">
            <v>UCI Cardiovascular</v>
          </cell>
          <cell r="I237" t="str">
            <v>Préstamo MINSAL</v>
          </cell>
          <cell r="J237" t="str">
            <v>Puritan Bennett</v>
          </cell>
          <cell r="K237" t="str">
            <v>980/cc</v>
          </cell>
          <cell r="L237" t="str">
            <v>35B2100833</v>
          </cell>
          <cell r="M237">
            <v>2022</v>
          </cell>
          <cell r="N237">
            <v>7</v>
          </cell>
          <cell r="O237" t="str">
            <v>Invasivo</v>
          </cell>
          <cell r="R237" t="str">
            <v>Semestral</v>
          </cell>
        </row>
        <row r="238">
          <cell r="C238">
            <v>65</v>
          </cell>
          <cell r="D238" t="str">
            <v>2-125348</v>
          </cell>
          <cell r="E238" t="str">
            <v xml:space="preserve">Ventilador Mecánico </v>
          </cell>
          <cell r="F238" t="str">
            <v>SAMU</v>
          </cell>
          <cell r="G238" t="str">
            <v>SAMU</v>
          </cell>
          <cell r="I238" t="str">
            <v>Arriendo</v>
          </cell>
          <cell r="J238" t="str">
            <v>Hamilton</v>
          </cell>
          <cell r="K238" t="str">
            <v>T1</v>
          </cell>
          <cell r="L238">
            <v>27332</v>
          </cell>
          <cell r="M238">
            <v>2023</v>
          </cell>
          <cell r="N238">
            <v>8</v>
          </cell>
          <cell r="O238" t="str">
            <v>Transporte Invasivo</v>
          </cell>
          <cell r="Q238" t="str">
            <v>En garant√≠a hasta 10/25. 2 MP Anual</v>
          </cell>
          <cell r="R238" t="str">
            <v>Semestral</v>
          </cell>
        </row>
        <row r="239">
          <cell r="C239">
            <v>66</v>
          </cell>
          <cell r="D239" t="str">
            <v>2-116290</v>
          </cell>
          <cell r="E239" t="str">
            <v xml:space="preserve">Ventilador Mecánico </v>
          </cell>
          <cell r="F239" t="str">
            <v>Neonatología</v>
          </cell>
          <cell r="G239" t="str">
            <v>UCI Neonatología</v>
          </cell>
          <cell r="I239" t="str">
            <v>Arriendo</v>
          </cell>
          <cell r="J239" t="str">
            <v>Drager</v>
          </cell>
          <cell r="K239" t="str">
            <v>VN500</v>
          </cell>
          <cell r="L239" t="str">
            <v>ASKK-0198</v>
          </cell>
          <cell r="M239">
            <v>2018</v>
          </cell>
          <cell r="N239">
            <v>10</v>
          </cell>
          <cell r="O239" t="str">
            <v>Invasivo</v>
          </cell>
          <cell r="R239" t="str">
            <v>Semestral</v>
          </cell>
        </row>
        <row r="240">
          <cell r="C240">
            <v>67</v>
          </cell>
          <cell r="D240" t="str">
            <v>2-133451</v>
          </cell>
          <cell r="E240" t="str">
            <v xml:space="preserve">Ventilador Mecánico </v>
          </cell>
          <cell r="F240" t="str">
            <v>Urgencia Adulto</v>
          </cell>
          <cell r="G240" t="str">
            <v>Urgencia Adulto</v>
          </cell>
          <cell r="I240" t="str">
            <v>Adquirido</v>
          </cell>
          <cell r="J240" t="str">
            <v>Hamilton</v>
          </cell>
          <cell r="K240" t="str">
            <v>MR1</v>
          </cell>
          <cell r="L240">
            <v>5497</v>
          </cell>
          <cell r="M240">
            <v>2024</v>
          </cell>
          <cell r="N240">
            <v>9</v>
          </cell>
          <cell r="O240" t="str">
            <v>Transporte Invasivo</v>
          </cell>
          <cell r="Q240" t="str">
            <v>Garant√≠a de 24 meses a partir del 04-12-24, con 2 MP al a√±o</v>
          </cell>
          <cell r="R240" t="str">
            <v>Semestral</v>
          </cell>
        </row>
        <row r="241">
          <cell r="C241">
            <v>68</v>
          </cell>
          <cell r="D241" t="str">
            <v>2-112324</v>
          </cell>
          <cell r="E241" t="str">
            <v xml:space="preserve">Ventilador Mecánico </v>
          </cell>
          <cell r="F241" t="str">
            <v>UPC Adulto</v>
          </cell>
          <cell r="G241" t="str">
            <v>UCI Adulto</v>
          </cell>
          <cell r="H241" t="str">
            <v>UPC-P2-SA19</v>
          </cell>
          <cell r="I241" t="str">
            <v>Adquirido</v>
          </cell>
          <cell r="J241" t="str">
            <v xml:space="preserve">Drager </v>
          </cell>
          <cell r="K241" t="str">
            <v xml:space="preserve">Carina </v>
          </cell>
          <cell r="L241" t="str">
            <v>SRYM-0041</v>
          </cell>
          <cell r="M241">
            <v>2007</v>
          </cell>
          <cell r="N241">
            <v>-8</v>
          </cell>
          <cell r="O241" t="str">
            <v>No Invasivo</v>
          </cell>
          <cell r="Q241" t="str">
            <v>Equipo sin repuesto y vida útil cumplica baja</v>
          </cell>
          <cell r="R241" t="str">
            <v>Semestral</v>
          </cell>
        </row>
        <row r="242">
          <cell r="C242">
            <v>69</v>
          </cell>
          <cell r="D242" t="str">
            <v>2-112325</v>
          </cell>
          <cell r="E242" t="str">
            <v xml:space="preserve">Ventilador Mecánico </v>
          </cell>
          <cell r="F242" t="str">
            <v>Urgencia Adulto (Prestado a UPC Cardiovascular)</v>
          </cell>
          <cell r="G242" t="str">
            <v>UPC Cardiovascular</v>
          </cell>
          <cell r="H242" t="str">
            <v>UPC Cardiovascular</v>
          </cell>
          <cell r="I242" t="str">
            <v>Adquirido</v>
          </cell>
          <cell r="J242" t="str">
            <v>Puritan Bennett</v>
          </cell>
          <cell r="K242" t="str">
            <v>840/Sin Comp.</v>
          </cell>
          <cell r="L242">
            <v>3512141901</v>
          </cell>
          <cell r="M242">
            <v>2014</v>
          </cell>
          <cell r="N242">
            <v>-1</v>
          </cell>
          <cell r="O242" t="str">
            <v>Invasivo</v>
          </cell>
          <cell r="Q242" t="str">
            <v>Equipo es reparado y recibido en Hospital 24.11.2025</v>
          </cell>
          <cell r="R242" t="str">
            <v>Semestral</v>
          </cell>
        </row>
        <row r="243">
          <cell r="C243">
            <v>70</v>
          </cell>
          <cell r="D243" t="str">
            <v>2-007497</v>
          </cell>
          <cell r="E243" t="str">
            <v xml:space="preserve">Ventilador Mecánico </v>
          </cell>
          <cell r="F243" t="str">
            <v>UPC Adulto</v>
          </cell>
          <cell r="G243" t="str">
            <v>UCI Adulto</v>
          </cell>
          <cell r="H243" t="str">
            <v>UPC-P2-SA19</v>
          </cell>
          <cell r="I243" t="str">
            <v>Adquirido</v>
          </cell>
          <cell r="J243" t="str">
            <v xml:space="preserve">Drager </v>
          </cell>
          <cell r="K243" t="str">
            <v>Oxylog 3000</v>
          </cell>
          <cell r="L243" t="str">
            <v>ASFM-0081</v>
          </cell>
          <cell r="M243">
            <v>2015</v>
          </cell>
          <cell r="N243">
            <v>0</v>
          </cell>
          <cell r="O243" t="str">
            <v>Transporte Invasivo</v>
          </cell>
          <cell r="Q243" t="str">
            <v>18.08.2025 Valvula quebrada, solicitud cerrada se indica "servicio debe solicitar directamente su reposición" ST</v>
          </cell>
          <cell r="R243" t="str">
            <v>Semestral</v>
          </cell>
        </row>
        <row r="244">
          <cell r="C244">
            <v>71</v>
          </cell>
          <cell r="D244" t="str">
            <v>2-013598</v>
          </cell>
          <cell r="E244" t="str">
            <v xml:space="preserve">Ventilador Mecánico </v>
          </cell>
          <cell r="F244" t="str">
            <v>UPC Adulto</v>
          </cell>
          <cell r="G244" t="str">
            <v>UCI Adulto</v>
          </cell>
          <cell r="H244" t="str">
            <v>UPC-P2-SA19</v>
          </cell>
          <cell r="I244" t="str">
            <v>Adquirido</v>
          </cell>
          <cell r="J244" t="str">
            <v xml:space="preserve">Drager </v>
          </cell>
          <cell r="K244" t="str">
            <v>Oxylog 3000</v>
          </cell>
          <cell r="L244" t="str">
            <v>ASFM-0082</v>
          </cell>
          <cell r="M244">
            <v>2015</v>
          </cell>
          <cell r="N244">
            <v>0</v>
          </cell>
          <cell r="O244" t="str">
            <v>Transporte Invasivo</v>
          </cell>
          <cell r="R244" t="str">
            <v>Semestral</v>
          </cell>
        </row>
        <row r="245">
          <cell r="C245">
            <v>72</v>
          </cell>
          <cell r="D245" t="str">
            <v>2-112326</v>
          </cell>
          <cell r="E245" t="str">
            <v xml:space="preserve">Ventilador Mecánico </v>
          </cell>
          <cell r="F245" t="str">
            <v>UPC Adulto</v>
          </cell>
          <cell r="G245" t="str">
            <v>UCI Adulto</v>
          </cell>
          <cell r="I245" t="str">
            <v>Adquirido</v>
          </cell>
          <cell r="J245" t="str">
            <v>Drager</v>
          </cell>
          <cell r="K245" t="str">
            <v xml:space="preserve">Carina </v>
          </cell>
          <cell r="L245" t="str">
            <v>ASFN-0010</v>
          </cell>
          <cell r="M245">
            <v>2015</v>
          </cell>
          <cell r="N245">
            <v>0</v>
          </cell>
          <cell r="O245" t="str">
            <v>No Invasivo</v>
          </cell>
          <cell r="Q245" t="str">
            <v>Equipo enviado a ST Drager 26-09-2025 #201</v>
          </cell>
          <cell r="R245" t="str">
            <v>Semestral</v>
          </cell>
        </row>
        <row r="246">
          <cell r="C246">
            <v>73</v>
          </cell>
          <cell r="D246" t="str">
            <v>2-013590</v>
          </cell>
          <cell r="E246" t="str">
            <v xml:space="preserve">Ventilador Mecánico </v>
          </cell>
          <cell r="F246" t="str">
            <v>UPC Adulto</v>
          </cell>
          <cell r="G246" t="str">
            <v>UCI Adulto</v>
          </cell>
          <cell r="H246" t="str">
            <v>UPC-P2-SA19</v>
          </cell>
          <cell r="I246" t="str">
            <v>Adquirido</v>
          </cell>
          <cell r="J246" t="str">
            <v>Drager</v>
          </cell>
          <cell r="K246" t="str">
            <v xml:space="preserve">Carina </v>
          </cell>
          <cell r="L246" t="str">
            <v>ASFN-0008</v>
          </cell>
          <cell r="M246">
            <v>2015</v>
          </cell>
          <cell r="N246">
            <v>0</v>
          </cell>
          <cell r="O246" t="str">
            <v>No Invasivo</v>
          </cell>
          <cell r="Q246" t="str">
            <v>Equipo enviado a ST para su mantención preventiva #239</v>
          </cell>
          <cell r="R246" t="str">
            <v>Semestral</v>
          </cell>
        </row>
        <row r="247">
          <cell r="C247">
            <v>74</v>
          </cell>
          <cell r="D247" t="str">
            <v>2-013589</v>
          </cell>
          <cell r="E247" t="str">
            <v xml:space="preserve">Ventilador Mecánico </v>
          </cell>
          <cell r="F247" t="str">
            <v>UPC Adulto</v>
          </cell>
          <cell r="G247" t="str">
            <v>UCI Adulto</v>
          </cell>
          <cell r="H247" t="str">
            <v>UPC-P2-SA19</v>
          </cell>
          <cell r="I247" t="str">
            <v>Adquirido</v>
          </cell>
          <cell r="J247" t="str">
            <v>Drager</v>
          </cell>
          <cell r="K247" t="str">
            <v xml:space="preserve">Carina </v>
          </cell>
          <cell r="L247" t="str">
            <v>ASFN-0007</v>
          </cell>
          <cell r="M247">
            <v>2015</v>
          </cell>
          <cell r="N247">
            <v>0</v>
          </cell>
          <cell r="O247" t="str">
            <v>No Invasivo</v>
          </cell>
          <cell r="Q247" t="str">
            <v>Equipo enviado a ST Folio 19-16848</v>
          </cell>
          <cell r="R247" t="str">
            <v>Semestral</v>
          </cell>
        </row>
        <row r="248">
          <cell r="C248">
            <v>75</v>
          </cell>
          <cell r="D248" t="str">
            <v>2-013592</v>
          </cell>
          <cell r="E248" t="str">
            <v xml:space="preserve">Ventilador Mecánico </v>
          </cell>
          <cell r="F248" t="str">
            <v>UPC Adulto</v>
          </cell>
          <cell r="G248" t="str">
            <v>UCI Adulto</v>
          </cell>
          <cell r="H248" t="str">
            <v>UPC-P2-SA19</v>
          </cell>
          <cell r="I248" t="str">
            <v>Adquirido</v>
          </cell>
          <cell r="J248" t="str">
            <v>Drager</v>
          </cell>
          <cell r="K248" t="str">
            <v xml:space="preserve">Carina </v>
          </cell>
          <cell r="L248" t="str">
            <v>ASFN-0006</v>
          </cell>
          <cell r="M248">
            <v>2015</v>
          </cell>
          <cell r="N248">
            <v>0</v>
          </cell>
          <cell r="O248" t="str">
            <v>No Invasivo</v>
          </cell>
          <cell r="Q248" t="str">
            <v>EQUIPO ENVIADO A ST EL 11-08-2025</v>
          </cell>
          <cell r="R248" t="str">
            <v>Semestral</v>
          </cell>
        </row>
        <row r="249">
          <cell r="C249">
            <v>76</v>
          </cell>
          <cell r="D249" t="str">
            <v>2-112327</v>
          </cell>
          <cell r="E249" t="str">
            <v xml:space="preserve">Ventilador Mecánico </v>
          </cell>
          <cell r="F249" t="str">
            <v>UPC Adulto</v>
          </cell>
          <cell r="G249" t="str">
            <v>UCI Adulto</v>
          </cell>
          <cell r="I249" t="str">
            <v>Adquirido</v>
          </cell>
          <cell r="J249" t="str">
            <v>Drager</v>
          </cell>
          <cell r="K249" t="str">
            <v xml:space="preserve">Carina </v>
          </cell>
          <cell r="L249" t="str">
            <v>ASFN-0009</v>
          </cell>
          <cell r="M249">
            <v>2015</v>
          </cell>
          <cell r="N249">
            <v>0</v>
          </cell>
          <cell r="O249" t="str">
            <v>No Invasivo</v>
          </cell>
          <cell r="Q249" t="str">
            <v>Equipo arroja falla tecnica enviado a ST el 11.12.2025</v>
          </cell>
        </row>
        <row r="250">
          <cell r="C250">
            <v>77</v>
          </cell>
          <cell r="D250" t="str">
            <v>2-110574</v>
          </cell>
          <cell r="E250" t="str">
            <v xml:space="preserve">Ventilador Mecánico </v>
          </cell>
          <cell r="F250" t="str">
            <v>UPC Adulto</v>
          </cell>
          <cell r="G250" t="str">
            <v>UCI Adulto</v>
          </cell>
          <cell r="H250" t="str">
            <v>UPC-P2-SA02</v>
          </cell>
          <cell r="I250" t="str">
            <v>Adquirido</v>
          </cell>
          <cell r="J250" t="str">
            <v>Drager</v>
          </cell>
          <cell r="K250" t="str">
            <v>Evita V300</v>
          </cell>
          <cell r="L250" t="str">
            <v>ASHK-0158</v>
          </cell>
          <cell r="M250">
            <v>2016</v>
          </cell>
          <cell r="N250">
            <v>1</v>
          </cell>
          <cell r="O250" t="str">
            <v>Invasivo</v>
          </cell>
          <cell r="Q250" t="str">
            <v>Falla en la bateria interna del equipo ST19-16927</v>
          </cell>
          <cell r="R250" t="str">
            <v>Semestral</v>
          </cell>
        </row>
        <row r="251">
          <cell r="C251">
            <v>78</v>
          </cell>
          <cell r="D251" t="str">
            <v>2-110572</v>
          </cell>
          <cell r="E251" t="str">
            <v xml:space="preserve">Ventilador Mecánico </v>
          </cell>
          <cell r="F251" t="str">
            <v>UPC Adulto</v>
          </cell>
          <cell r="G251" t="str">
            <v>UCI Adulto</v>
          </cell>
          <cell r="H251" t="str">
            <v>UPC-P2-SA02</v>
          </cell>
          <cell r="I251" t="str">
            <v>Adquirido</v>
          </cell>
          <cell r="J251" t="str">
            <v>Drager</v>
          </cell>
          <cell r="K251" t="str">
            <v>Evita V300</v>
          </cell>
          <cell r="L251" t="str">
            <v>ASHK-0163</v>
          </cell>
          <cell r="M251">
            <v>2016</v>
          </cell>
          <cell r="N251">
            <v>1</v>
          </cell>
          <cell r="O251" t="str">
            <v>Invasivo</v>
          </cell>
          <cell r="Q251" t="str">
            <v>Se recomienda cambio del boton rotatorio 18-10-24</v>
          </cell>
          <cell r="R251" t="str">
            <v>Semestral</v>
          </cell>
        </row>
        <row r="252">
          <cell r="C252">
            <v>79</v>
          </cell>
          <cell r="D252" t="str">
            <v>2-110575</v>
          </cell>
          <cell r="E252" t="str">
            <v xml:space="preserve">Ventilador Mecánico </v>
          </cell>
          <cell r="F252" t="str">
            <v>UPC Adulto</v>
          </cell>
          <cell r="G252" t="str">
            <v>UCI Adulto</v>
          </cell>
          <cell r="H252" t="str">
            <v>UPC-P2-SA02</v>
          </cell>
          <cell r="I252" t="str">
            <v>Adquirido</v>
          </cell>
          <cell r="J252" t="str">
            <v>Drager</v>
          </cell>
          <cell r="K252" t="str">
            <v>Evita V300</v>
          </cell>
          <cell r="L252" t="str">
            <v>ASHK-0162</v>
          </cell>
          <cell r="M252">
            <v>2016</v>
          </cell>
          <cell r="N252">
            <v>1</v>
          </cell>
          <cell r="O252" t="str">
            <v>Invasivo</v>
          </cell>
          <cell r="R252" t="str">
            <v>Semestral</v>
          </cell>
        </row>
        <row r="253">
          <cell r="C253">
            <v>80</v>
          </cell>
          <cell r="D253" t="str">
            <v>2-110565</v>
          </cell>
          <cell r="E253" t="str">
            <v xml:space="preserve">Ventilador Mecánico </v>
          </cell>
          <cell r="F253" t="str">
            <v>UPC Adulto</v>
          </cell>
          <cell r="G253" t="str">
            <v>UCI Adulto</v>
          </cell>
          <cell r="H253" t="str">
            <v>UPC-P2-SA02</v>
          </cell>
          <cell r="I253" t="str">
            <v>Adquirido</v>
          </cell>
          <cell r="J253" t="str">
            <v>Drager</v>
          </cell>
          <cell r="K253" t="str">
            <v>Evita V300</v>
          </cell>
          <cell r="L253" t="str">
            <v>ASHK-0148</v>
          </cell>
          <cell r="M253">
            <v>2016</v>
          </cell>
          <cell r="N253">
            <v>1</v>
          </cell>
          <cell r="O253" t="str">
            <v>Invasivo</v>
          </cell>
          <cell r="Q253" t="str">
            <v>Equipo con falla de bateria interna. Equipo fuera de servicio ST</v>
          </cell>
          <cell r="R253" t="str">
            <v>Semestral</v>
          </cell>
        </row>
        <row r="254">
          <cell r="C254">
            <v>81</v>
          </cell>
          <cell r="D254" t="str">
            <v>2-110571</v>
          </cell>
          <cell r="E254" t="str">
            <v xml:space="preserve">Ventilador Mecánico </v>
          </cell>
          <cell r="F254" t="str">
            <v>UPC Adulto</v>
          </cell>
          <cell r="G254" t="str">
            <v>UCI Adulto</v>
          </cell>
          <cell r="H254" t="str">
            <v>UPC-P2-SA02</v>
          </cell>
          <cell r="I254" t="str">
            <v>Adquirido</v>
          </cell>
          <cell r="J254" t="str">
            <v>Drager</v>
          </cell>
          <cell r="K254" t="str">
            <v>Evita V300</v>
          </cell>
          <cell r="L254" t="str">
            <v>ASHK-0151</v>
          </cell>
          <cell r="M254">
            <v>2016</v>
          </cell>
          <cell r="N254">
            <v>1</v>
          </cell>
          <cell r="O254" t="str">
            <v>Invasivo</v>
          </cell>
          <cell r="Q254" t="str">
            <v>Equipo queda con pantalla en blanco, equipo queda fuera de servicio ST a la espera de respuestos</v>
          </cell>
          <cell r="R254" t="str">
            <v>Semestral</v>
          </cell>
        </row>
        <row r="255">
          <cell r="C255">
            <v>82</v>
          </cell>
          <cell r="D255" t="str">
            <v>2-110563</v>
          </cell>
          <cell r="E255" t="str">
            <v xml:space="preserve">Ventilador Mecánico </v>
          </cell>
          <cell r="F255" t="str">
            <v>UPC Adulto</v>
          </cell>
          <cell r="G255" t="str">
            <v>UCI Adulto</v>
          </cell>
          <cell r="H255" t="str">
            <v>UPC-P2-SA02</v>
          </cell>
          <cell r="I255" t="str">
            <v>Adquirido</v>
          </cell>
          <cell r="J255" t="str">
            <v>Drager</v>
          </cell>
          <cell r="K255" t="str">
            <v>Evita V300</v>
          </cell>
          <cell r="L255" t="str">
            <v>ASHK-0153</v>
          </cell>
          <cell r="M255">
            <v>2016</v>
          </cell>
          <cell r="N255">
            <v>1</v>
          </cell>
          <cell r="O255" t="str">
            <v>Invasivo</v>
          </cell>
          <cell r="R255" t="str">
            <v>Semestral</v>
          </cell>
        </row>
        <row r="256">
          <cell r="C256">
            <v>83</v>
          </cell>
          <cell r="D256" t="str">
            <v>2-110568</v>
          </cell>
          <cell r="E256" t="str">
            <v xml:space="preserve">Ventilador Mecánico </v>
          </cell>
          <cell r="F256" t="str">
            <v>UPC Adulto</v>
          </cell>
          <cell r="G256" t="str">
            <v>UCI Adulto</v>
          </cell>
          <cell r="H256" t="str">
            <v>UPC-P2-SA02</v>
          </cell>
          <cell r="I256" t="str">
            <v>Adquirido</v>
          </cell>
          <cell r="J256" t="str">
            <v>Drager</v>
          </cell>
          <cell r="K256" t="str">
            <v>Evita V300</v>
          </cell>
          <cell r="L256" t="str">
            <v>ASHK-0155</v>
          </cell>
          <cell r="M256">
            <v>2016</v>
          </cell>
          <cell r="N256">
            <v>1</v>
          </cell>
          <cell r="O256" t="str">
            <v>Invasivo</v>
          </cell>
        </row>
        <row r="257">
          <cell r="C257">
            <v>84</v>
          </cell>
          <cell r="D257" t="str">
            <v>2-110567</v>
          </cell>
          <cell r="E257" t="str">
            <v xml:space="preserve">Ventilador Mecánico </v>
          </cell>
          <cell r="F257" t="str">
            <v>UPC Adulto</v>
          </cell>
          <cell r="G257" t="str">
            <v>UCI Adulto</v>
          </cell>
          <cell r="H257" t="str">
            <v>UPC-P2-SA02</v>
          </cell>
          <cell r="I257" t="str">
            <v>Adquirido</v>
          </cell>
          <cell r="J257" t="str">
            <v>Drager</v>
          </cell>
          <cell r="K257" t="str">
            <v>Evita V300</v>
          </cell>
          <cell r="L257" t="str">
            <v>ASHK-0160</v>
          </cell>
          <cell r="M257">
            <v>2016</v>
          </cell>
          <cell r="N257">
            <v>1</v>
          </cell>
          <cell r="O257" t="str">
            <v>Invasivo</v>
          </cell>
          <cell r="Q257" t="str">
            <v>Equipo reparado</v>
          </cell>
          <cell r="R257" t="str">
            <v>Semestral</v>
          </cell>
        </row>
        <row r="258">
          <cell r="C258">
            <v>85</v>
          </cell>
          <cell r="D258" t="str">
            <v>2-110566</v>
          </cell>
          <cell r="E258" t="str">
            <v xml:space="preserve">Ventilador Mecánico </v>
          </cell>
          <cell r="F258" t="str">
            <v>UPC Adulto</v>
          </cell>
          <cell r="G258" t="str">
            <v>UCI Adulto</v>
          </cell>
          <cell r="H258" t="str">
            <v>UPC-P2-SA02</v>
          </cell>
          <cell r="I258" t="str">
            <v>Adquirido</v>
          </cell>
          <cell r="J258" t="str">
            <v>Drager</v>
          </cell>
          <cell r="K258" t="str">
            <v>Evita V300</v>
          </cell>
          <cell r="L258" t="str">
            <v>ASHK-0157</v>
          </cell>
          <cell r="M258">
            <v>2016</v>
          </cell>
          <cell r="N258">
            <v>1</v>
          </cell>
          <cell r="O258" t="str">
            <v>Invasivo</v>
          </cell>
          <cell r="Q258" t="str">
            <v>Se recomienda cambio de bateria PS500 15-10-24</v>
          </cell>
          <cell r="R258" t="str">
            <v>Semestral</v>
          </cell>
        </row>
        <row r="259">
          <cell r="C259">
            <v>86</v>
          </cell>
          <cell r="D259" t="str">
            <v>2-110573</v>
          </cell>
          <cell r="E259" t="str">
            <v xml:space="preserve">Ventilador Mecánico </v>
          </cell>
          <cell r="F259" t="str">
            <v>UPC Adulto</v>
          </cell>
          <cell r="G259" t="str">
            <v>UCI Adulto</v>
          </cell>
          <cell r="H259" t="str">
            <v>UPC-P2-SA02</v>
          </cell>
          <cell r="I259" t="str">
            <v>Adquirido</v>
          </cell>
          <cell r="J259" t="str">
            <v>Drager</v>
          </cell>
          <cell r="K259" t="str">
            <v>Evita V300</v>
          </cell>
          <cell r="L259" t="str">
            <v>ASHK-0156</v>
          </cell>
          <cell r="M259">
            <v>2016</v>
          </cell>
          <cell r="N259">
            <v>1</v>
          </cell>
          <cell r="O259" t="str">
            <v>Invasivo</v>
          </cell>
          <cell r="Q259" t="str">
            <v>Se recomienda cambio de bateria interna 18-10-24</v>
          </cell>
          <cell r="R259" t="str">
            <v>Semestral</v>
          </cell>
        </row>
        <row r="260">
          <cell r="C260">
            <v>87</v>
          </cell>
          <cell r="D260" t="str">
            <v>2-110562</v>
          </cell>
          <cell r="E260" t="str">
            <v xml:space="preserve">Ventilador Mecánico </v>
          </cell>
          <cell r="F260" t="str">
            <v>UPC Adulto</v>
          </cell>
          <cell r="G260" t="str">
            <v>UCI Adulto</v>
          </cell>
          <cell r="H260" t="str">
            <v>UPC-P2-SA02</v>
          </cell>
          <cell r="I260" t="str">
            <v>Adquirido</v>
          </cell>
          <cell r="J260" t="str">
            <v>Drager</v>
          </cell>
          <cell r="K260" t="str">
            <v>Evita V300</v>
          </cell>
          <cell r="L260" t="str">
            <v>ASHK-0161</v>
          </cell>
          <cell r="M260">
            <v>2016</v>
          </cell>
          <cell r="N260">
            <v>1</v>
          </cell>
          <cell r="O260" t="str">
            <v>Invasivo</v>
          </cell>
          <cell r="R260" t="str">
            <v>Semestral</v>
          </cell>
        </row>
        <row r="261">
          <cell r="C261">
            <v>88</v>
          </cell>
          <cell r="D261" t="str">
            <v>2-110569</v>
          </cell>
          <cell r="E261" t="str">
            <v xml:space="preserve">Ventilador Mecánico </v>
          </cell>
          <cell r="F261" t="str">
            <v>UPC Adulto</v>
          </cell>
          <cell r="G261" t="str">
            <v>UCI Adulto</v>
          </cell>
          <cell r="H261" t="str">
            <v>UPC-P2-SA02</v>
          </cell>
          <cell r="I261" t="str">
            <v>Adquirido</v>
          </cell>
          <cell r="J261" t="str">
            <v>Drager</v>
          </cell>
          <cell r="K261" t="str">
            <v>Evita V300</v>
          </cell>
          <cell r="L261" t="str">
            <v>ASHK-0152</v>
          </cell>
          <cell r="M261">
            <v>2016</v>
          </cell>
          <cell r="N261">
            <v>1</v>
          </cell>
          <cell r="O261" t="str">
            <v>Invasivo</v>
          </cell>
          <cell r="Q261" t="str">
            <v>Se recomienda cambio de bateria interna 18-10-24</v>
          </cell>
          <cell r="R261" t="str">
            <v>Semestral</v>
          </cell>
        </row>
        <row r="262">
          <cell r="C262">
            <v>89</v>
          </cell>
          <cell r="D262" t="str">
            <v>2-110564</v>
          </cell>
          <cell r="E262" t="str">
            <v xml:space="preserve">Ventilador Mecánico </v>
          </cell>
          <cell r="F262" t="str">
            <v>UPC Adulto</v>
          </cell>
          <cell r="G262" t="str">
            <v>UCI Adulto</v>
          </cell>
          <cell r="H262" t="str">
            <v>UPC-P2-SA02</v>
          </cell>
          <cell r="I262" t="str">
            <v>Adquirido</v>
          </cell>
          <cell r="J262" t="str">
            <v>Drager</v>
          </cell>
          <cell r="K262" t="str">
            <v>Evita V300</v>
          </cell>
          <cell r="L262" t="str">
            <v>ASHK-0154</v>
          </cell>
          <cell r="M262">
            <v>2016</v>
          </cell>
          <cell r="N262">
            <v>1</v>
          </cell>
          <cell r="O262" t="str">
            <v>Invasivo</v>
          </cell>
          <cell r="Q262" t="str">
            <v>Equipo con fugas internas de O2. Se solicita visita de servicio técnico para evaluar su reparación. Equipo Fuera de Servicio ST</v>
          </cell>
          <cell r="R262" t="str">
            <v>Semestral</v>
          </cell>
        </row>
        <row r="263">
          <cell r="C263">
            <v>90</v>
          </cell>
          <cell r="D263" t="str">
            <v>2-110570</v>
          </cell>
          <cell r="E263" t="str">
            <v xml:space="preserve">Ventilador Mecánico </v>
          </cell>
          <cell r="F263" t="str">
            <v>UPC Adulto</v>
          </cell>
          <cell r="G263" t="str">
            <v>UCI Adulto</v>
          </cell>
          <cell r="H263" t="str">
            <v>UPC-P2-SA02</v>
          </cell>
          <cell r="I263" t="str">
            <v>Adquirido</v>
          </cell>
          <cell r="J263" t="str">
            <v>Drager</v>
          </cell>
          <cell r="K263" t="str">
            <v>Evita V300</v>
          </cell>
          <cell r="L263" t="str">
            <v>ASHK-0159</v>
          </cell>
          <cell r="M263">
            <v>2016</v>
          </cell>
          <cell r="N263">
            <v>1</v>
          </cell>
          <cell r="O263" t="str">
            <v>Invasivo</v>
          </cell>
          <cell r="R263" t="str">
            <v>Semestral</v>
          </cell>
        </row>
        <row r="264">
          <cell r="C264">
            <v>91</v>
          </cell>
          <cell r="D264" t="str">
            <v>2-112132</v>
          </cell>
          <cell r="E264" t="str">
            <v xml:space="preserve">Ventilador Mecánico </v>
          </cell>
          <cell r="F264" t="str">
            <v>SAMU</v>
          </cell>
          <cell r="G264" t="str">
            <v>SAMU</v>
          </cell>
          <cell r="H264" t="str">
            <v>Base 13</v>
          </cell>
          <cell r="I264" t="str">
            <v>Adquirido</v>
          </cell>
          <cell r="J264" t="str">
            <v xml:space="preserve">Newport </v>
          </cell>
          <cell r="K264" t="str">
            <v>HT70 PLUS</v>
          </cell>
          <cell r="L264" t="str">
            <v>N16HT720118981</v>
          </cell>
          <cell r="M264">
            <v>2016</v>
          </cell>
          <cell r="N264">
            <v>1</v>
          </cell>
          <cell r="O264" t="str">
            <v>Transporte Invasivo</v>
          </cell>
          <cell r="Q264" t="str">
            <v>POR ALERTA DE FABRICA DE FALLA DE TARJETA PCBA LO QUE PODRÍA APAGAR Y NO EMITIR ALARMA EN EL VENTILADOR PONIENDO EN RIESGO LA VIDA DEL PACIENTE FECHA 24-07-2025 Equipo de baja.</v>
          </cell>
          <cell r="R264" t="str">
            <v>Semestral</v>
          </cell>
        </row>
        <row r="265">
          <cell r="C265">
            <v>92</v>
          </cell>
          <cell r="D265" t="str">
            <v>2-121214</v>
          </cell>
          <cell r="E265" t="str">
            <v xml:space="preserve">Ventilador Mecánico </v>
          </cell>
          <cell r="F265" t="str">
            <v>UPC Adulto</v>
          </cell>
          <cell r="G265" t="str">
            <v>UCI Adulto</v>
          </cell>
          <cell r="I265" t="str">
            <v>Préstamo MINSAL</v>
          </cell>
          <cell r="J265" t="str">
            <v>MEK ICS</v>
          </cell>
          <cell r="K265" t="str">
            <v>MV2000 EVO5</v>
          </cell>
          <cell r="L265" t="str">
            <v>MV2000UA1D0984</v>
          </cell>
          <cell r="M265">
            <v>2021</v>
          </cell>
          <cell r="N265">
            <v>6</v>
          </cell>
          <cell r="O265" t="str">
            <v>Invasivo</v>
          </cell>
          <cell r="R265" t="str">
            <v>Semestral</v>
          </cell>
        </row>
        <row r="266">
          <cell r="C266">
            <v>93</v>
          </cell>
          <cell r="D266" t="str">
            <v>2-013588</v>
          </cell>
          <cell r="E266" t="str">
            <v xml:space="preserve">Ventilador Mecánico </v>
          </cell>
          <cell r="F266" t="str">
            <v>UPC Adulto</v>
          </cell>
          <cell r="G266" t="str">
            <v>UCI Adulto</v>
          </cell>
          <cell r="H266" t="str">
            <v>UPC-P2-SA19</v>
          </cell>
          <cell r="I266" t="str">
            <v>Adquirido</v>
          </cell>
          <cell r="J266" t="str">
            <v>Maquet</v>
          </cell>
          <cell r="K266" t="str">
            <v>Servo i RM</v>
          </cell>
          <cell r="L266">
            <v>79510</v>
          </cell>
          <cell r="M266">
            <v>2016</v>
          </cell>
          <cell r="N266">
            <v>1</v>
          </cell>
          <cell r="O266" t="str">
            <v>Invasivo</v>
          </cell>
          <cell r="Q266" t="str">
            <v>Se recomienda cambio de baterias 13-05-25</v>
          </cell>
          <cell r="R266" t="str">
            <v>Semestral</v>
          </cell>
        </row>
        <row r="267">
          <cell r="C267">
            <v>94</v>
          </cell>
          <cell r="D267" t="str">
            <v>2-112134</v>
          </cell>
          <cell r="E267" t="str">
            <v xml:space="preserve">Ventilador Mecánico </v>
          </cell>
          <cell r="F267" t="str">
            <v>SAMU</v>
          </cell>
          <cell r="G267" t="str">
            <v>SAMU</v>
          </cell>
          <cell r="H267" t="str">
            <v>Base 1</v>
          </cell>
          <cell r="I267" t="str">
            <v>Adquirido</v>
          </cell>
          <cell r="J267" t="str">
            <v xml:space="preserve">Newport </v>
          </cell>
          <cell r="K267" t="str">
            <v>HT70 PLUS</v>
          </cell>
          <cell r="L267" t="str">
            <v>N16HT720118982</v>
          </cell>
          <cell r="M267">
            <v>2016</v>
          </cell>
          <cell r="N267">
            <v>1</v>
          </cell>
          <cell r="O267" t="str">
            <v>Transporte Invasivo</v>
          </cell>
          <cell r="Q267" t="str">
            <v>EQUIPO ES DADO DE baja POR RECOMENDACIÓN DEL FABRICANTE 30-06-2025</v>
          </cell>
          <cell r="R267" t="str">
            <v>Semestral</v>
          </cell>
        </row>
        <row r="268">
          <cell r="C268">
            <v>95</v>
          </cell>
          <cell r="D268" t="str">
            <v>2-121215</v>
          </cell>
          <cell r="E268" t="str">
            <v xml:space="preserve">Ventilador Mecánico </v>
          </cell>
          <cell r="F268" t="str">
            <v>UPC Adulto</v>
          </cell>
          <cell r="G268" t="str">
            <v>UCI Adulto</v>
          </cell>
          <cell r="I268" t="str">
            <v>Préstamo MINSAL</v>
          </cell>
          <cell r="J268" t="str">
            <v>MEK ICS</v>
          </cell>
          <cell r="K268" t="str">
            <v>MV2000 EVO5</v>
          </cell>
          <cell r="L268" t="str">
            <v>MV2000UA1D0987</v>
          </cell>
          <cell r="M268">
            <v>2021</v>
          </cell>
          <cell r="N268">
            <v>6</v>
          </cell>
          <cell r="O268" t="str">
            <v>Invasivo</v>
          </cell>
          <cell r="R268" t="str">
            <v>Semestral</v>
          </cell>
        </row>
        <row r="269">
          <cell r="C269">
            <v>96</v>
          </cell>
          <cell r="D269" t="str">
            <v>2-111146</v>
          </cell>
          <cell r="E269" t="str">
            <v xml:space="preserve">Ventilador Mecánico </v>
          </cell>
          <cell r="F269" t="str">
            <v>Urgencia Adulto (Prestado a UPC Cardiovascular)</v>
          </cell>
          <cell r="G269" t="str">
            <v>UPC Cardiovascular</v>
          </cell>
          <cell r="H269" t="str">
            <v>UPC Cardiovascular</v>
          </cell>
          <cell r="I269" t="str">
            <v>Adquirido</v>
          </cell>
          <cell r="J269" t="str">
            <v xml:space="preserve">Newport </v>
          </cell>
          <cell r="K269" t="str">
            <v>HT70 PLUS</v>
          </cell>
          <cell r="L269" t="str">
            <v>N14HT720413504</v>
          </cell>
          <cell r="M269">
            <v>2016</v>
          </cell>
          <cell r="N269">
            <v>1</v>
          </cell>
          <cell r="O269" t="str">
            <v>Transporte Invasivo</v>
          </cell>
          <cell r="Q269" t="str">
            <v>Se realiza cambio de manilla el 22-07-2025 equipo operativo</v>
          </cell>
          <cell r="R269" t="str">
            <v>Semestral</v>
          </cell>
        </row>
        <row r="270">
          <cell r="C270">
            <v>97</v>
          </cell>
          <cell r="D270" t="str">
            <v>2-116291</v>
          </cell>
          <cell r="E270" t="str">
            <v xml:space="preserve">Ventilador Mecánico </v>
          </cell>
          <cell r="F270" t="str">
            <v>Neonatología</v>
          </cell>
          <cell r="G270" t="str">
            <v>UCI Neonatología</v>
          </cell>
          <cell r="I270" t="str">
            <v>Arriendo</v>
          </cell>
          <cell r="J270" t="str">
            <v>Drager</v>
          </cell>
          <cell r="K270" t="str">
            <v>VN500</v>
          </cell>
          <cell r="L270" t="str">
            <v>ASKK-0199</v>
          </cell>
          <cell r="M270">
            <v>2018</v>
          </cell>
          <cell r="N270">
            <v>3</v>
          </cell>
          <cell r="O270" t="str">
            <v>Invasivo</v>
          </cell>
          <cell r="R270" t="str">
            <v>Semestral</v>
          </cell>
        </row>
        <row r="271">
          <cell r="C271">
            <v>98</v>
          </cell>
          <cell r="D271" t="str">
            <v>2-116292</v>
          </cell>
          <cell r="E271" t="str">
            <v xml:space="preserve">Ventilador Mecánico </v>
          </cell>
          <cell r="F271" t="str">
            <v>Neonatología</v>
          </cell>
          <cell r="G271" t="str">
            <v>UCI Neonatología</v>
          </cell>
          <cell r="I271" t="str">
            <v>Arriendo</v>
          </cell>
          <cell r="J271" t="str">
            <v>Drager</v>
          </cell>
          <cell r="K271" t="str">
            <v>VN500</v>
          </cell>
          <cell r="L271" t="str">
            <v>ASKK-0200</v>
          </cell>
          <cell r="M271">
            <v>2018</v>
          </cell>
          <cell r="N271">
            <v>3</v>
          </cell>
          <cell r="O271" t="str">
            <v>Invasivo</v>
          </cell>
          <cell r="Q271" t="str">
            <v>Bateria debe ser reemplazada en la prox MP 15-11-24</v>
          </cell>
          <cell r="R271" t="str">
            <v>Semestral</v>
          </cell>
        </row>
        <row r="272">
          <cell r="C272">
            <v>99</v>
          </cell>
          <cell r="D272" t="str">
            <v>2-116293</v>
          </cell>
          <cell r="E272" t="str">
            <v xml:space="preserve">Ventilador Mecánico </v>
          </cell>
          <cell r="F272" t="str">
            <v>Neonatología</v>
          </cell>
          <cell r="G272" t="str">
            <v>UCI Neonatología</v>
          </cell>
          <cell r="I272" t="str">
            <v>Arriendo</v>
          </cell>
          <cell r="J272" t="str">
            <v>Drager</v>
          </cell>
          <cell r="K272" t="str">
            <v>VN500</v>
          </cell>
          <cell r="L272" t="str">
            <v>ASKL-0003</v>
          </cell>
          <cell r="M272">
            <v>2018</v>
          </cell>
          <cell r="N272">
            <v>3</v>
          </cell>
          <cell r="O272" t="str">
            <v>Invasivo</v>
          </cell>
          <cell r="Q272" t="str">
            <v>Bateria debe ser reemplazada en la prox MP 15-11-24</v>
          </cell>
          <cell r="R272" t="str">
            <v>Semestral</v>
          </cell>
        </row>
        <row r="273">
          <cell r="C273">
            <v>100</v>
          </cell>
          <cell r="D273" t="str">
            <v>2-116294</v>
          </cell>
          <cell r="E273" t="str">
            <v xml:space="preserve">Ventilador Mecánico </v>
          </cell>
          <cell r="F273" t="str">
            <v>Neonatología</v>
          </cell>
          <cell r="G273" t="str">
            <v>UCI Neonatología</v>
          </cell>
          <cell r="I273" t="str">
            <v>Arriendo</v>
          </cell>
          <cell r="J273" t="str">
            <v>Drager</v>
          </cell>
          <cell r="K273" t="str">
            <v>VN500</v>
          </cell>
          <cell r="L273" t="str">
            <v>ASKL-0004</v>
          </cell>
          <cell r="M273">
            <v>2018</v>
          </cell>
          <cell r="N273">
            <v>3</v>
          </cell>
          <cell r="O273" t="str">
            <v>Invasivo</v>
          </cell>
          <cell r="Q273" t="str">
            <v>Bateria debe ser reemplazada en la prox MP 15-11-24</v>
          </cell>
          <cell r="R273" t="str">
            <v>Semestral</v>
          </cell>
        </row>
        <row r="274">
          <cell r="C274">
            <v>101</v>
          </cell>
          <cell r="D274" t="str">
            <v>2-116295</v>
          </cell>
          <cell r="E274" t="str">
            <v xml:space="preserve">Ventilador Mecánico </v>
          </cell>
          <cell r="F274" t="str">
            <v>Neonatología</v>
          </cell>
          <cell r="G274" t="str">
            <v>UCI Neonatología</v>
          </cell>
          <cell r="I274" t="str">
            <v>Arriendo</v>
          </cell>
          <cell r="J274" t="str">
            <v>Drager</v>
          </cell>
          <cell r="K274" t="str">
            <v>VN500</v>
          </cell>
          <cell r="L274" t="str">
            <v>ASKL-0008</v>
          </cell>
          <cell r="M274">
            <v>2018</v>
          </cell>
          <cell r="N274">
            <v>3</v>
          </cell>
          <cell r="O274" t="str">
            <v>Invasivo</v>
          </cell>
          <cell r="R274" t="str">
            <v>Semestral</v>
          </cell>
        </row>
        <row r="275">
          <cell r="C275">
            <v>102</v>
          </cell>
          <cell r="D275" t="str">
            <v>2-116296</v>
          </cell>
          <cell r="E275" t="str">
            <v xml:space="preserve">Ventilador Mecánico </v>
          </cell>
          <cell r="F275" t="str">
            <v>Neonatología</v>
          </cell>
          <cell r="G275" t="str">
            <v>UCI Neonatología</v>
          </cell>
          <cell r="I275" t="str">
            <v>Arriendo</v>
          </cell>
          <cell r="J275" t="str">
            <v>Drager</v>
          </cell>
          <cell r="K275" t="str">
            <v>VN500</v>
          </cell>
          <cell r="L275" t="str">
            <v>ASKL-0009</v>
          </cell>
          <cell r="M275">
            <v>2018</v>
          </cell>
          <cell r="N275">
            <v>3</v>
          </cell>
          <cell r="O275" t="str">
            <v>Invasivo</v>
          </cell>
          <cell r="R275" t="str">
            <v>Semestral</v>
          </cell>
        </row>
        <row r="276">
          <cell r="C276">
            <v>103</v>
          </cell>
          <cell r="D276" t="str">
            <v>2-116297</v>
          </cell>
          <cell r="E276" t="str">
            <v xml:space="preserve">Ventilador Mecánico </v>
          </cell>
          <cell r="F276" t="str">
            <v>Neonatología</v>
          </cell>
          <cell r="G276" t="str">
            <v>UCI Neonatología</v>
          </cell>
          <cell r="I276" t="str">
            <v>Arriendo</v>
          </cell>
          <cell r="J276" t="str">
            <v>Drager</v>
          </cell>
          <cell r="K276" t="str">
            <v>VN500</v>
          </cell>
          <cell r="L276" t="str">
            <v>ASKK-0201</v>
          </cell>
          <cell r="M276">
            <v>2018</v>
          </cell>
          <cell r="N276">
            <v>3</v>
          </cell>
          <cell r="O276" t="str">
            <v>Invasivo</v>
          </cell>
          <cell r="R276" t="str">
            <v>Semestral</v>
          </cell>
        </row>
        <row r="277">
          <cell r="C277">
            <v>104</v>
          </cell>
          <cell r="D277" t="str">
            <v>2-116298</v>
          </cell>
          <cell r="E277" t="str">
            <v xml:space="preserve">Ventilador Mecánico </v>
          </cell>
          <cell r="F277" t="str">
            <v>Neonatología</v>
          </cell>
          <cell r="G277" t="str">
            <v>UCI Neonatología</v>
          </cell>
          <cell r="I277" t="str">
            <v>Arriendo</v>
          </cell>
          <cell r="J277" t="str">
            <v>Drager</v>
          </cell>
          <cell r="K277" t="str">
            <v>VN500</v>
          </cell>
          <cell r="L277" t="str">
            <v>ASKL-0005</v>
          </cell>
          <cell r="M277">
            <v>2018</v>
          </cell>
          <cell r="N277">
            <v>3</v>
          </cell>
          <cell r="O277" t="str">
            <v>Invasivo</v>
          </cell>
          <cell r="R277" t="str">
            <v>Semestral</v>
          </cell>
        </row>
        <row r="278">
          <cell r="C278">
            <v>105</v>
          </cell>
          <cell r="D278" t="str">
            <v>2-116299</v>
          </cell>
          <cell r="E278" t="str">
            <v xml:space="preserve">Ventilador Mecánico </v>
          </cell>
          <cell r="F278" t="str">
            <v>Neonatología</v>
          </cell>
          <cell r="G278" t="str">
            <v>UCI Neonatología</v>
          </cell>
          <cell r="I278" t="str">
            <v>Arriendo</v>
          </cell>
          <cell r="J278" t="str">
            <v>Drager</v>
          </cell>
          <cell r="K278" t="str">
            <v>VN500</v>
          </cell>
          <cell r="L278" t="str">
            <v>ASKL-0006</v>
          </cell>
          <cell r="M278">
            <v>2018</v>
          </cell>
          <cell r="N278">
            <v>3</v>
          </cell>
          <cell r="O278" t="str">
            <v>Invasivo</v>
          </cell>
          <cell r="R278" t="str">
            <v>Semestral</v>
          </cell>
        </row>
        <row r="279">
          <cell r="C279">
            <v>106</v>
          </cell>
          <cell r="D279" t="str">
            <v>2-116300</v>
          </cell>
          <cell r="E279" t="str">
            <v xml:space="preserve">Ventilador Mecánico </v>
          </cell>
          <cell r="F279" t="str">
            <v>Neonatología</v>
          </cell>
          <cell r="G279" t="str">
            <v>UCI Neonatología</v>
          </cell>
          <cell r="I279" t="str">
            <v>Arriendo</v>
          </cell>
          <cell r="J279" t="str">
            <v>Drager</v>
          </cell>
          <cell r="K279" t="str">
            <v>VN500</v>
          </cell>
          <cell r="L279" t="str">
            <v>ASKL-0007</v>
          </cell>
          <cell r="M279">
            <v>2018</v>
          </cell>
          <cell r="N279">
            <v>3</v>
          </cell>
          <cell r="O279" t="str">
            <v>Invasivo</v>
          </cell>
          <cell r="R279" t="str">
            <v>Semestral</v>
          </cell>
        </row>
        <row r="280">
          <cell r="C280">
            <v>107</v>
          </cell>
          <cell r="D280" t="str">
            <v>2-116301</v>
          </cell>
          <cell r="E280" t="str">
            <v xml:space="preserve">Ventilador Mecánico </v>
          </cell>
          <cell r="F280" t="str">
            <v>Neonatología</v>
          </cell>
          <cell r="G280" t="str">
            <v>UCI Neonatología</v>
          </cell>
          <cell r="I280" t="str">
            <v>Arriendo</v>
          </cell>
          <cell r="J280" t="str">
            <v>Drager</v>
          </cell>
          <cell r="K280" t="str">
            <v>VN500</v>
          </cell>
          <cell r="L280" t="str">
            <v>ASJA-0138</v>
          </cell>
          <cell r="M280">
            <v>2018</v>
          </cell>
          <cell r="N280">
            <v>3</v>
          </cell>
          <cell r="O280" t="str">
            <v>Invasivo</v>
          </cell>
          <cell r="R280" t="str">
            <v>Semestral</v>
          </cell>
        </row>
        <row r="281">
          <cell r="C281">
            <v>108</v>
          </cell>
          <cell r="D281" t="str">
            <v>2-117264</v>
          </cell>
          <cell r="E281" t="str">
            <v xml:space="preserve">Ventilador Mecánico </v>
          </cell>
          <cell r="F281" t="str">
            <v>SAMU</v>
          </cell>
          <cell r="G281" t="str">
            <v>SAMU</v>
          </cell>
          <cell r="H281" t="str">
            <v>Base 13</v>
          </cell>
          <cell r="I281" t="str">
            <v>Adquirido</v>
          </cell>
          <cell r="J281" t="str">
            <v xml:space="preserve">Newport </v>
          </cell>
          <cell r="K281" t="str">
            <v>HT70 PLUS</v>
          </cell>
          <cell r="L281" t="str">
            <v>N17HT720120041</v>
          </cell>
          <cell r="M281">
            <v>2018</v>
          </cell>
          <cell r="N281">
            <v>3</v>
          </cell>
          <cell r="O281" t="str">
            <v>Transporte Invasivo</v>
          </cell>
          <cell r="R281" t="str">
            <v>Semestral</v>
          </cell>
        </row>
        <row r="282">
          <cell r="C282">
            <v>109</v>
          </cell>
          <cell r="D282" t="str">
            <v>2-121216</v>
          </cell>
          <cell r="E282" t="str">
            <v xml:space="preserve">Ventilador Mecánico </v>
          </cell>
          <cell r="F282" t="str">
            <v>UPC Adulto</v>
          </cell>
          <cell r="G282" t="str">
            <v>UCI Adulto</v>
          </cell>
          <cell r="I282" t="str">
            <v>Préstamo MINSAL</v>
          </cell>
          <cell r="J282" t="str">
            <v>MEK ICS</v>
          </cell>
          <cell r="K282" t="str">
            <v>MV2000 EVO5</v>
          </cell>
          <cell r="L282" t="str">
            <v>MV2000UA1D0775</v>
          </cell>
          <cell r="M282">
            <v>2021</v>
          </cell>
          <cell r="N282">
            <v>6</v>
          </cell>
          <cell r="O282" t="str">
            <v>Invasivo</v>
          </cell>
          <cell r="R282" t="str">
            <v>Semestral</v>
          </cell>
        </row>
        <row r="283">
          <cell r="C283">
            <v>110</v>
          </cell>
          <cell r="D283" t="str">
            <v>2-119888</v>
          </cell>
          <cell r="E283" t="str">
            <v xml:space="preserve">Ventilador Mecánico </v>
          </cell>
          <cell r="F283" t="str">
            <v>UPC 3er Piso</v>
          </cell>
          <cell r="G283" t="str">
            <v>UPC 3er Piso</v>
          </cell>
          <cell r="H283" t="str">
            <v>Sala de equipos</v>
          </cell>
          <cell r="I283" t="str">
            <v>Préstamo MINSAL</v>
          </cell>
          <cell r="J283" t="str">
            <v>Puritan Bennett</v>
          </cell>
          <cell r="K283">
            <v>560</v>
          </cell>
          <cell r="L283" t="str">
            <v>40966N0158</v>
          </cell>
          <cell r="M283">
            <v>2020</v>
          </cell>
          <cell r="N283">
            <v>5</v>
          </cell>
          <cell r="O283" t="str">
            <v>No Invasivo</v>
          </cell>
          <cell r="Q283" t="str">
            <v>06.01.2026 Equipo enviado a ST</v>
          </cell>
          <cell r="R283" t="str">
            <v>Semestral</v>
          </cell>
        </row>
        <row r="284">
          <cell r="C284">
            <v>111</v>
          </cell>
          <cell r="D284" t="str">
            <v>2-119889</v>
          </cell>
          <cell r="E284" t="str">
            <v xml:space="preserve">Ventilador Mecánico </v>
          </cell>
          <cell r="F284" t="str">
            <v>UPC 3er Piso</v>
          </cell>
          <cell r="G284" t="str">
            <v>UPC 3er Piso</v>
          </cell>
          <cell r="H284" t="str">
            <v>Bodega</v>
          </cell>
          <cell r="I284" t="str">
            <v>Préstamo MINSAL</v>
          </cell>
          <cell r="J284" t="str">
            <v>Puritan Bennett</v>
          </cell>
          <cell r="K284">
            <v>560</v>
          </cell>
          <cell r="L284" t="str">
            <v>40966N0156</v>
          </cell>
          <cell r="M284">
            <v>2020</v>
          </cell>
          <cell r="N284">
            <v>5</v>
          </cell>
          <cell r="O284" t="str">
            <v>No Invasivo</v>
          </cell>
          <cell r="Q284" t="str">
            <v>Se instala kit FiO2 21-11-24</v>
          </cell>
          <cell r="R284" t="str">
            <v>Semestral</v>
          </cell>
        </row>
        <row r="285">
          <cell r="C285">
            <v>112</v>
          </cell>
          <cell r="D285" t="str">
            <v>2-119890</v>
          </cell>
          <cell r="E285" t="str">
            <v xml:space="preserve">Ventilador Mecánico </v>
          </cell>
          <cell r="F285" t="str">
            <v>UPC 3er Piso</v>
          </cell>
          <cell r="G285" t="str">
            <v>UPC 3er Piso</v>
          </cell>
          <cell r="H285" t="str">
            <v>Bodega</v>
          </cell>
          <cell r="I285" t="str">
            <v>Préstamo MINSAL</v>
          </cell>
          <cell r="J285" t="str">
            <v>Puritan Bennett</v>
          </cell>
          <cell r="K285">
            <v>560</v>
          </cell>
          <cell r="L285" t="str">
            <v>40966N0134</v>
          </cell>
          <cell r="M285">
            <v>2020</v>
          </cell>
          <cell r="N285">
            <v>5</v>
          </cell>
          <cell r="O285" t="str">
            <v>No Invasivo</v>
          </cell>
          <cell r="Q285" t="str">
            <v>Se instala kit FiO2 21-11-24</v>
          </cell>
          <cell r="R285" t="str">
            <v>Semestral</v>
          </cell>
        </row>
        <row r="286">
          <cell r="C286">
            <v>113</v>
          </cell>
          <cell r="D286" t="str">
            <v>2-119891</v>
          </cell>
          <cell r="E286" t="str">
            <v xml:space="preserve">Ventilador Mecánico </v>
          </cell>
          <cell r="F286" t="str">
            <v>UPC 3er Piso</v>
          </cell>
          <cell r="G286" t="str">
            <v>UPC 3er Piso</v>
          </cell>
          <cell r="H286" t="str">
            <v>Bodega</v>
          </cell>
          <cell r="I286" t="str">
            <v>Préstamo MINSAL</v>
          </cell>
          <cell r="J286" t="str">
            <v>Puritan Bennett</v>
          </cell>
          <cell r="K286">
            <v>560</v>
          </cell>
          <cell r="L286" t="str">
            <v>40966N0118</v>
          </cell>
          <cell r="M286">
            <v>2020</v>
          </cell>
          <cell r="N286">
            <v>5</v>
          </cell>
          <cell r="O286" t="str">
            <v>No Invasivo</v>
          </cell>
          <cell r="Q286" t="str">
            <v>Se instala kit FiO2 21-11-24</v>
          </cell>
          <cell r="R286" t="str">
            <v>Semestral</v>
          </cell>
        </row>
        <row r="287">
          <cell r="C287">
            <v>114</v>
          </cell>
          <cell r="D287" t="str">
            <v>2-119885</v>
          </cell>
          <cell r="E287" t="str">
            <v xml:space="preserve">Ventilador Mecánico </v>
          </cell>
          <cell r="F287" t="str">
            <v>Urgencia Adulto</v>
          </cell>
          <cell r="G287" t="str">
            <v>Urgencia Adulto</v>
          </cell>
          <cell r="I287" t="str">
            <v>Préstamo MINSAL</v>
          </cell>
          <cell r="J287" t="str">
            <v>Puritan Bennett</v>
          </cell>
          <cell r="K287">
            <v>560</v>
          </cell>
          <cell r="L287" t="str">
            <v>40966N0147</v>
          </cell>
          <cell r="M287">
            <v>2020</v>
          </cell>
          <cell r="N287">
            <v>5</v>
          </cell>
          <cell r="O287" t="str">
            <v>No Invasivo</v>
          </cell>
          <cell r="Q287" t="str">
            <v>06.01.2026 Equipo enviado a ST</v>
          </cell>
          <cell r="R287" t="str">
            <v>Semestral</v>
          </cell>
        </row>
        <row r="288">
          <cell r="C288">
            <v>115</v>
          </cell>
          <cell r="D288" t="str">
            <v>2-119886</v>
          </cell>
          <cell r="E288" t="str">
            <v xml:space="preserve">Ventilador Mecánico </v>
          </cell>
          <cell r="F288" t="str">
            <v>Urgencia Adulto (Prestado a UPC Cardiovascular)</v>
          </cell>
          <cell r="G288" t="str">
            <v>UPC Cardiovascular</v>
          </cell>
          <cell r="I288" t="str">
            <v>Préstamo MINSAL</v>
          </cell>
          <cell r="J288" t="str">
            <v>Puritan Bennett</v>
          </cell>
          <cell r="K288">
            <v>560</v>
          </cell>
          <cell r="L288" t="str">
            <v>40966N0133</v>
          </cell>
          <cell r="M288">
            <v>2020</v>
          </cell>
          <cell r="N288">
            <v>5</v>
          </cell>
          <cell r="O288" t="str">
            <v>No Invasivo</v>
          </cell>
          <cell r="Q288" t="str">
            <v>trazabilidad Traspaso temporal a UPC Cardio 04-08-2021. Se instala kit FiO2 28-11-24</v>
          </cell>
          <cell r="R288" t="str">
            <v>Semestral</v>
          </cell>
        </row>
        <row r="289">
          <cell r="C289">
            <v>116</v>
          </cell>
          <cell r="D289" t="str">
            <v>2-119887</v>
          </cell>
          <cell r="E289" t="str">
            <v xml:space="preserve">Ventilador Mecánico </v>
          </cell>
          <cell r="F289" t="str">
            <v>Urgencia Adulto (Prestado a UPC 3er piso)</v>
          </cell>
          <cell r="G289" t="str">
            <v>UPC 3er piso</v>
          </cell>
          <cell r="H289" t="str">
            <v>UPC 3er Piso</v>
          </cell>
          <cell r="I289" t="str">
            <v>Préstamo MINSAL</v>
          </cell>
          <cell r="J289" t="str">
            <v>Puritan Bennett</v>
          </cell>
          <cell r="K289">
            <v>560</v>
          </cell>
          <cell r="L289" t="str">
            <v>40966N0126</v>
          </cell>
          <cell r="M289">
            <v>2020</v>
          </cell>
          <cell r="N289">
            <v>5</v>
          </cell>
          <cell r="O289" t="str">
            <v>No Invasivo</v>
          </cell>
          <cell r="Q289" t="str">
            <v>trazabilidad Se instala kit FiO2 21-11-24</v>
          </cell>
          <cell r="R289" t="str">
            <v>Semestral</v>
          </cell>
        </row>
        <row r="290">
          <cell r="C290">
            <v>117</v>
          </cell>
          <cell r="D290" t="str">
            <v>121010-019703</v>
          </cell>
          <cell r="E290" t="str">
            <v xml:space="preserve">Ventilador Mecánico </v>
          </cell>
          <cell r="F290" t="str">
            <v>UPC Cardiovascular</v>
          </cell>
          <cell r="G290" t="str">
            <v>UCI Cardiovascular</v>
          </cell>
          <cell r="H290" t="str">
            <v>SALA EQUIPOS</v>
          </cell>
          <cell r="I290" t="str">
            <v>Adquirido</v>
          </cell>
          <cell r="J290" t="str">
            <v>Newport</v>
          </cell>
          <cell r="K290" t="str">
            <v>HT70 PLUS</v>
          </cell>
          <cell r="L290" t="str">
            <v>HT7P200197</v>
          </cell>
          <cell r="M290">
            <v>2020</v>
          </cell>
          <cell r="N290">
            <v>5</v>
          </cell>
          <cell r="O290" t="str">
            <v>Transporte Invasivo</v>
          </cell>
          <cell r="R290" t="str">
            <v>Semestral</v>
          </cell>
        </row>
        <row r="291">
          <cell r="C291">
            <v>118</v>
          </cell>
          <cell r="D291" t="str">
            <v>2-120318</v>
          </cell>
          <cell r="E291" t="str">
            <v xml:space="preserve">Ventilador Mecánico </v>
          </cell>
          <cell r="F291" t="str">
            <v>UPC 3er Piso (Prestado a Urgencia Adulto)</v>
          </cell>
          <cell r="G291" t="str">
            <v>Urgencia Adulto</v>
          </cell>
          <cell r="H291" t="str">
            <v>Urgencia Adulto</v>
          </cell>
          <cell r="I291" t="str">
            <v>Préstamo MINSAL</v>
          </cell>
          <cell r="J291" t="str">
            <v>Aeonmed</v>
          </cell>
          <cell r="K291" t="str">
            <v>VG70</v>
          </cell>
          <cell r="L291" t="str">
            <v>VG70(E)XZZU6636</v>
          </cell>
          <cell r="M291">
            <v>2020</v>
          </cell>
          <cell r="N291">
            <v>5</v>
          </cell>
          <cell r="O291" t="str">
            <v>Invasivo</v>
          </cell>
          <cell r="Q291" t="str">
            <v>trazabilidad</v>
          </cell>
          <cell r="R291" t="str">
            <v>Semestral</v>
          </cell>
        </row>
        <row r="292">
          <cell r="C292">
            <v>119</v>
          </cell>
          <cell r="D292" t="str">
            <v>2-120321</v>
          </cell>
          <cell r="E292" t="str">
            <v xml:space="preserve">Ventilador Mecánico </v>
          </cell>
          <cell r="F292" t="str">
            <v>UPC 3er Piso (Prestado a Urgencia Adulto)</v>
          </cell>
          <cell r="G292" t="str">
            <v>Urgencia Adulto</v>
          </cell>
          <cell r="H292" t="str">
            <v>Urgencia Adulto</v>
          </cell>
          <cell r="I292" t="str">
            <v>Préstamo MINSAL</v>
          </cell>
          <cell r="J292" t="str">
            <v>Aeonmed</v>
          </cell>
          <cell r="K292" t="str">
            <v>VG70</v>
          </cell>
          <cell r="L292" t="str">
            <v>VG70(E)XZZU3360</v>
          </cell>
          <cell r="M292">
            <v>2020</v>
          </cell>
          <cell r="N292">
            <v>5</v>
          </cell>
          <cell r="O292" t="str">
            <v>Invasivo</v>
          </cell>
          <cell r="Q292" t="str">
            <v>trazabilidad</v>
          </cell>
          <cell r="R292" t="str">
            <v>Semestral</v>
          </cell>
        </row>
        <row r="293">
          <cell r="C293">
            <v>120</v>
          </cell>
          <cell r="D293" t="str">
            <v>2-120319</v>
          </cell>
          <cell r="E293" t="str">
            <v xml:space="preserve">Ventilador Mecánico </v>
          </cell>
          <cell r="F293" t="str">
            <v>UPC 3er Piso</v>
          </cell>
          <cell r="G293" t="str">
            <v>UPC 3er Piso</v>
          </cell>
          <cell r="H293" t="str">
            <v>Sala de equipos</v>
          </cell>
          <cell r="I293" t="str">
            <v>Préstamo MINSAL</v>
          </cell>
          <cell r="J293" t="str">
            <v>Aeonmed</v>
          </cell>
          <cell r="K293" t="str">
            <v>VG70</v>
          </cell>
          <cell r="L293" t="str">
            <v>VG70(E)XZZU9473</v>
          </cell>
          <cell r="M293">
            <v>2020</v>
          </cell>
          <cell r="N293">
            <v>5</v>
          </cell>
          <cell r="O293" t="str">
            <v>Invasivo</v>
          </cell>
          <cell r="R293" t="str">
            <v>Semestral</v>
          </cell>
        </row>
        <row r="294">
          <cell r="C294">
            <v>121</v>
          </cell>
          <cell r="D294" t="str">
            <v>2-120320</v>
          </cell>
          <cell r="E294" t="str">
            <v xml:space="preserve">Ventilador Mecánico </v>
          </cell>
          <cell r="F294" t="str">
            <v>UPC 3er Piso</v>
          </cell>
          <cell r="G294" t="str">
            <v>UPC 3er Piso</v>
          </cell>
          <cell r="H294" t="str">
            <v>Sala de equipos</v>
          </cell>
          <cell r="I294" t="str">
            <v>Préstamo MINSAL</v>
          </cell>
          <cell r="J294" t="str">
            <v>Aeonmed</v>
          </cell>
          <cell r="K294" t="str">
            <v>VG70</v>
          </cell>
          <cell r="L294" t="str">
            <v>VG70(E)XZZU8032</v>
          </cell>
          <cell r="M294">
            <v>2020</v>
          </cell>
          <cell r="N294">
            <v>5</v>
          </cell>
          <cell r="O294" t="str">
            <v>Invasivo</v>
          </cell>
          <cell r="R294" t="str">
            <v>Semestral</v>
          </cell>
        </row>
        <row r="295">
          <cell r="C295">
            <v>122</v>
          </cell>
          <cell r="D295" t="str">
            <v>2-120322</v>
          </cell>
          <cell r="E295" t="str">
            <v xml:space="preserve">Ventilador Mecánico </v>
          </cell>
          <cell r="F295" t="str">
            <v>UPC Adulto</v>
          </cell>
          <cell r="G295" t="str">
            <v>UCI Adulto</v>
          </cell>
          <cell r="I295" t="str">
            <v>Adquirido</v>
          </cell>
          <cell r="J295" t="str">
            <v>MEK ICS</v>
          </cell>
          <cell r="K295" t="str">
            <v>MV2000 EVO5</v>
          </cell>
          <cell r="L295" t="str">
            <v>MV2000TA2F0736</v>
          </cell>
          <cell r="M295">
            <v>2020</v>
          </cell>
          <cell r="N295">
            <v>5</v>
          </cell>
          <cell r="O295" t="str">
            <v>Invasivo</v>
          </cell>
          <cell r="R295" t="str">
            <v>Semestral</v>
          </cell>
        </row>
        <row r="296">
          <cell r="C296">
            <v>123</v>
          </cell>
          <cell r="D296" t="str">
            <v>2-120323</v>
          </cell>
          <cell r="E296" t="str">
            <v xml:space="preserve">Ventilador Mecánico </v>
          </cell>
          <cell r="F296" t="str">
            <v>UPC 3er Piso</v>
          </cell>
          <cell r="G296" t="str">
            <v>UPC 3er Piso</v>
          </cell>
          <cell r="H296" t="str">
            <v>Sala de equipos</v>
          </cell>
          <cell r="I296" t="str">
            <v>Adquirido</v>
          </cell>
          <cell r="J296" t="str">
            <v>MEK ICS</v>
          </cell>
          <cell r="K296" t="str">
            <v>MV2000 EVO5</v>
          </cell>
          <cell r="L296" t="str">
            <v>MV2000TA2F0740</v>
          </cell>
          <cell r="M296">
            <v>2020</v>
          </cell>
          <cell r="N296">
            <v>5</v>
          </cell>
          <cell r="O296" t="str">
            <v>Invasivo</v>
          </cell>
          <cell r="Q296" t="str">
            <v>cambio de celda o2. Equipo operativo</v>
          </cell>
          <cell r="R296" t="str">
            <v>Semestral</v>
          </cell>
        </row>
        <row r="297">
          <cell r="C297">
            <v>124</v>
          </cell>
          <cell r="D297" t="str">
            <v>2-120324</v>
          </cell>
          <cell r="E297" t="str">
            <v xml:space="preserve">Ventilador Mecánico </v>
          </cell>
          <cell r="F297" t="str">
            <v>UPC 3er Piso</v>
          </cell>
          <cell r="G297" t="str">
            <v>UPC 3er Piso</v>
          </cell>
          <cell r="H297" t="str">
            <v>Sala de equipos</v>
          </cell>
          <cell r="I297" t="str">
            <v>Adquirido</v>
          </cell>
          <cell r="J297" t="str">
            <v>MEK ICS</v>
          </cell>
          <cell r="K297" t="str">
            <v>MV2000 EVO5</v>
          </cell>
          <cell r="L297" t="str">
            <v>MV2000TA2F0735</v>
          </cell>
          <cell r="M297">
            <v>2020</v>
          </cell>
          <cell r="N297">
            <v>5</v>
          </cell>
          <cell r="O297" t="str">
            <v>Invasivo</v>
          </cell>
          <cell r="R297" t="str">
            <v>Semestral</v>
          </cell>
        </row>
        <row r="298">
          <cell r="C298">
            <v>125</v>
          </cell>
          <cell r="D298" t="str">
            <v>2-120325</v>
          </cell>
          <cell r="E298" t="str">
            <v xml:space="preserve">Ventilador Mecánico </v>
          </cell>
          <cell r="F298" t="str">
            <v>UPC Adulto</v>
          </cell>
          <cell r="G298" t="str">
            <v>UCI Adulto</v>
          </cell>
          <cell r="I298" t="str">
            <v>Adquirido</v>
          </cell>
          <cell r="J298" t="str">
            <v>MEK ICS</v>
          </cell>
          <cell r="K298" t="str">
            <v>MV2000 EVO5</v>
          </cell>
          <cell r="L298" t="str">
            <v>MV2000TA1F0353</v>
          </cell>
          <cell r="M298">
            <v>2020</v>
          </cell>
          <cell r="N298">
            <v>5</v>
          </cell>
          <cell r="O298" t="str">
            <v>Invasivo</v>
          </cell>
          <cell r="R298" t="str">
            <v>Semestral</v>
          </cell>
        </row>
        <row r="299">
          <cell r="C299">
            <v>126</v>
          </cell>
          <cell r="D299" t="str">
            <v>2-120326</v>
          </cell>
          <cell r="E299" t="str">
            <v xml:space="preserve">Ventilador Mecánico </v>
          </cell>
          <cell r="F299" t="str">
            <v>UPC 3er Piso</v>
          </cell>
          <cell r="G299" t="str">
            <v>UPC 3er Piso</v>
          </cell>
          <cell r="H299" t="str">
            <v>Sala de equipos</v>
          </cell>
          <cell r="I299" t="str">
            <v>Adquirido</v>
          </cell>
          <cell r="J299" t="str">
            <v>MEK ICS</v>
          </cell>
          <cell r="K299" t="str">
            <v>MV2000 EVO5</v>
          </cell>
          <cell r="L299" t="str">
            <v>MV2000TA2F0745</v>
          </cell>
          <cell r="M299">
            <v>2020</v>
          </cell>
          <cell r="N299">
            <v>5</v>
          </cell>
          <cell r="O299" t="str">
            <v>Invasivo</v>
          </cell>
          <cell r="R299" t="str">
            <v>Semestral</v>
          </cell>
        </row>
        <row r="300">
          <cell r="C300">
            <v>127</v>
          </cell>
          <cell r="D300" t="str">
            <v>2-012933</v>
          </cell>
          <cell r="E300" t="str">
            <v xml:space="preserve">Ventilador Mecánico </v>
          </cell>
          <cell r="F300" t="str">
            <v>SAMU (Prestado al Hospital de Villarrica)</v>
          </cell>
          <cell r="G300" t="str">
            <v>SAMU (Prestado al Hospital de Villarrica)</v>
          </cell>
          <cell r="H300" t="str">
            <v>Hospital de Villarrica</v>
          </cell>
          <cell r="I300" t="str">
            <v>Adquirido</v>
          </cell>
          <cell r="J300" t="str">
            <v>Weinmann</v>
          </cell>
          <cell r="K300" t="str">
            <v>Medumat Transport</v>
          </cell>
          <cell r="L300">
            <v>8253</v>
          </cell>
          <cell r="M300">
            <v>2020</v>
          </cell>
          <cell r="N300">
            <v>5</v>
          </cell>
          <cell r="O300" t="str">
            <v>Transporte Invasivo</v>
          </cell>
          <cell r="Q300" t="str">
            <v>Equipo se entrega en calidad de prestamo al Hospital de Villarrica 30-10-24 ST</v>
          </cell>
          <cell r="R300" t="str">
            <v>Semestral</v>
          </cell>
        </row>
        <row r="301">
          <cell r="C301">
            <v>128</v>
          </cell>
          <cell r="D301" t="str">
            <v>2-121048</v>
          </cell>
          <cell r="E301" t="str">
            <v xml:space="preserve">Ventilador Mecánico </v>
          </cell>
          <cell r="F301" t="str">
            <v>UPC Cardiovascular</v>
          </cell>
          <cell r="G301" t="str">
            <v>UCI Cardiovascular</v>
          </cell>
          <cell r="H301" t="str">
            <v>UCI Cardiovascular</v>
          </cell>
          <cell r="I301" t="str">
            <v>Adquirido</v>
          </cell>
          <cell r="J301" t="str">
            <v>Puritan Bennett</v>
          </cell>
          <cell r="K301">
            <v>980</v>
          </cell>
          <cell r="L301" t="str">
            <v>35B2002482</v>
          </cell>
          <cell r="M301">
            <v>2020</v>
          </cell>
          <cell r="N301">
            <v>5</v>
          </cell>
          <cell r="O301" t="str">
            <v>Invasivo</v>
          </cell>
          <cell r="R301" t="str">
            <v>Semestral</v>
          </cell>
        </row>
        <row r="302">
          <cell r="C302">
            <v>129</v>
          </cell>
          <cell r="D302" t="str">
            <v>2-121204</v>
          </cell>
          <cell r="E302" t="str">
            <v xml:space="preserve">Ventilador Mecánico </v>
          </cell>
          <cell r="F302" t="str">
            <v>Urgencia Adulto</v>
          </cell>
          <cell r="G302" t="str">
            <v>Urgencia Adulto</v>
          </cell>
          <cell r="I302" t="str">
            <v>Préstamo SAR Pedro de Valdivia</v>
          </cell>
          <cell r="J302" t="str">
            <v>Drager</v>
          </cell>
          <cell r="K302" t="str">
            <v>Oxylog 3000</v>
          </cell>
          <cell r="L302" t="str">
            <v>ASJL-0086</v>
          </cell>
          <cell r="M302">
            <v>2020</v>
          </cell>
          <cell r="N302">
            <v>5</v>
          </cell>
          <cell r="O302" t="str">
            <v>Transporte Invasivo</v>
          </cell>
          <cell r="R302" t="str">
            <v>Semestral</v>
          </cell>
        </row>
        <row r="303">
          <cell r="C303">
            <v>130</v>
          </cell>
          <cell r="D303" t="str">
            <v>2-121203</v>
          </cell>
          <cell r="E303" t="str">
            <v xml:space="preserve">Ventilador Mecánico </v>
          </cell>
          <cell r="F303" t="str">
            <v>UPC 3er Piso</v>
          </cell>
          <cell r="G303" t="str">
            <v>UPC 3er Piso</v>
          </cell>
          <cell r="H303" t="str">
            <v>Sala de equipos</v>
          </cell>
          <cell r="I303" t="str">
            <v>Préstamo CESFAM Los Volcanes</v>
          </cell>
          <cell r="J303" t="str">
            <v>Drager</v>
          </cell>
          <cell r="K303" t="str">
            <v>Oxylog 3000</v>
          </cell>
          <cell r="L303" t="str">
            <v>ASJL-0081</v>
          </cell>
          <cell r="M303">
            <v>2020</v>
          </cell>
          <cell r="N303">
            <v>5</v>
          </cell>
          <cell r="O303" t="str">
            <v>Transporte Invasivo</v>
          </cell>
          <cell r="Q303" t="str">
            <v>Cargador malo. Requiere cambio 18-11-2024</v>
          </cell>
          <cell r="R303" t="str">
            <v>Semestral</v>
          </cell>
        </row>
        <row r="304">
          <cell r="C304">
            <v>131</v>
          </cell>
          <cell r="D304" t="str">
            <v>2-120744</v>
          </cell>
          <cell r="E304" t="str">
            <v xml:space="preserve">Ventilador Mecánico </v>
          </cell>
          <cell r="F304" t="str">
            <v>Urgencia Adulto</v>
          </cell>
          <cell r="G304" t="str">
            <v>Urgencia Adulto</v>
          </cell>
          <cell r="H304" t="str">
            <v>Sala equipos SUA</v>
          </cell>
          <cell r="I304" t="str">
            <v>Préstamo MINSAL</v>
          </cell>
          <cell r="J304" t="str">
            <v>Aeonmed</v>
          </cell>
          <cell r="K304" t="str">
            <v>VG70</v>
          </cell>
          <cell r="L304" t="str">
            <v>VG70(E)XZZU7932</v>
          </cell>
          <cell r="M304">
            <v>2020</v>
          </cell>
          <cell r="N304">
            <v>5</v>
          </cell>
          <cell r="O304" t="str">
            <v>Invasivo</v>
          </cell>
          <cell r="R304" t="str">
            <v>Semestral</v>
          </cell>
        </row>
        <row r="305">
          <cell r="C305">
            <v>132</v>
          </cell>
          <cell r="D305" t="str">
            <v>2-120745</v>
          </cell>
          <cell r="E305" t="str">
            <v xml:space="preserve">Ventilador Mecánico </v>
          </cell>
          <cell r="F305" t="str">
            <v>Urgencia Adulto</v>
          </cell>
          <cell r="G305" t="str">
            <v>Urgencia Adulto</v>
          </cell>
          <cell r="H305" t="str">
            <v>Sala equipos SUA</v>
          </cell>
          <cell r="I305" t="str">
            <v>Préstamo MINSAL</v>
          </cell>
          <cell r="J305" t="str">
            <v>Aeonmed</v>
          </cell>
          <cell r="K305" t="str">
            <v>VG70</v>
          </cell>
          <cell r="L305" t="str">
            <v>VG70(E)XZZU7934</v>
          </cell>
          <cell r="M305">
            <v>2020</v>
          </cell>
          <cell r="N305">
            <v>5</v>
          </cell>
          <cell r="O305" t="str">
            <v>Invasivo</v>
          </cell>
          <cell r="R305" t="str">
            <v>Semestral</v>
          </cell>
        </row>
        <row r="306">
          <cell r="C306">
            <v>133</v>
          </cell>
          <cell r="D306" t="str">
            <v>2-120565</v>
          </cell>
          <cell r="E306" t="str">
            <v xml:space="preserve">Ventilador Mecánico </v>
          </cell>
          <cell r="F306" t="str">
            <v>UPC Adulto</v>
          </cell>
          <cell r="G306" t="str">
            <v>UCI Adulto</v>
          </cell>
          <cell r="H306" t="str">
            <v>Sala de equipos</v>
          </cell>
          <cell r="I306" t="str">
            <v>Adquirido</v>
          </cell>
          <cell r="J306" t="str">
            <v>Puritan Bennett</v>
          </cell>
          <cell r="K306" t="str">
            <v>980/Sin Comp.</v>
          </cell>
          <cell r="L306" t="str">
            <v>35B2004521</v>
          </cell>
          <cell r="M306">
            <v>2020</v>
          </cell>
          <cell r="N306">
            <v>5</v>
          </cell>
          <cell r="O306" t="str">
            <v>Invasivo</v>
          </cell>
          <cell r="R306" t="str">
            <v>Semestral</v>
          </cell>
        </row>
        <row r="307">
          <cell r="C307">
            <v>134</v>
          </cell>
          <cell r="D307" t="str">
            <v>2-120566</v>
          </cell>
          <cell r="E307" t="str">
            <v xml:space="preserve">Ventilador Mecánico </v>
          </cell>
          <cell r="F307" t="str">
            <v>Urgencia Adulto (Prestado a UPC Cardiovascular)</v>
          </cell>
          <cell r="G307" t="str">
            <v>UPC Cardiovascular</v>
          </cell>
          <cell r="H307" t="str">
            <v>UPC Cardiovascular</v>
          </cell>
          <cell r="I307" t="str">
            <v>Adquirido</v>
          </cell>
          <cell r="J307" t="str">
            <v>Puritan Bennett</v>
          </cell>
          <cell r="K307">
            <v>840</v>
          </cell>
          <cell r="L307">
            <v>3512202265</v>
          </cell>
          <cell r="M307">
            <v>2020</v>
          </cell>
          <cell r="N307">
            <v>5</v>
          </cell>
          <cell r="O307" t="str">
            <v>Invasivo</v>
          </cell>
          <cell r="Q307" t="str">
            <v>trazabilidad</v>
          </cell>
          <cell r="R307" t="str">
            <v>Semestral</v>
          </cell>
        </row>
        <row r="308">
          <cell r="C308">
            <v>135</v>
          </cell>
          <cell r="D308" t="str">
            <v>2-120568</v>
          </cell>
          <cell r="E308" t="str">
            <v xml:space="preserve">Ventilador Mecánico </v>
          </cell>
          <cell r="F308" t="str">
            <v>UPC Cardiovascular</v>
          </cell>
          <cell r="G308" t="str">
            <v>UCI Cardiovascular</v>
          </cell>
          <cell r="H308" t="str">
            <v>UCI Cardiovascular</v>
          </cell>
          <cell r="I308" t="str">
            <v>Adquirido</v>
          </cell>
          <cell r="J308" t="str">
            <v>Puritan Bennett</v>
          </cell>
          <cell r="K308" t="str">
            <v>980/Sin Comp.</v>
          </cell>
          <cell r="L308" t="str">
            <v>35B2004413</v>
          </cell>
          <cell r="M308">
            <v>2020</v>
          </cell>
          <cell r="N308">
            <v>5</v>
          </cell>
          <cell r="O308" t="str">
            <v>Invasivo</v>
          </cell>
          <cell r="R308" t="str">
            <v>Semestral</v>
          </cell>
        </row>
        <row r="309">
          <cell r="C309">
            <v>136</v>
          </cell>
          <cell r="D309" t="str">
            <v>2-120567</v>
          </cell>
          <cell r="E309" t="str">
            <v xml:space="preserve">Ventilador Mecánico </v>
          </cell>
          <cell r="F309" t="str">
            <v>UPC Cardiovascular</v>
          </cell>
          <cell r="G309" t="str">
            <v>UCI Cardiovascular</v>
          </cell>
          <cell r="H309" t="str">
            <v>UCI Cardiovascular</v>
          </cell>
          <cell r="I309" t="str">
            <v>Adquirido</v>
          </cell>
          <cell r="J309" t="str">
            <v>Puritan Bennett</v>
          </cell>
          <cell r="K309" t="str">
            <v>980/Sin Comp.</v>
          </cell>
          <cell r="L309" t="str">
            <v>35B2004449</v>
          </cell>
          <cell r="M309">
            <v>2020</v>
          </cell>
          <cell r="N309">
            <v>5</v>
          </cell>
          <cell r="O309" t="str">
            <v>Invasivo</v>
          </cell>
          <cell r="R309" t="str">
            <v>Semestral</v>
          </cell>
        </row>
        <row r="310">
          <cell r="C310">
            <v>137</v>
          </cell>
          <cell r="D310" t="str">
            <v>2-120569</v>
          </cell>
          <cell r="E310" t="str">
            <v xml:space="preserve">Ventilador Mecánico </v>
          </cell>
          <cell r="F310" t="str">
            <v>UPC Adulto</v>
          </cell>
          <cell r="G310" t="str">
            <v>UCI Adulto</v>
          </cell>
          <cell r="I310" t="str">
            <v>Adquirido</v>
          </cell>
          <cell r="J310" t="str">
            <v>Puritan Bennett</v>
          </cell>
          <cell r="K310" t="str">
            <v>980/Sin Comp.</v>
          </cell>
          <cell r="L310" t="str">
            <v>35B2004447</v>
          </cell>
          <cell r="M310">
            <v>2020</v>
          </cell>
          <cell r="N310">
            <v>5</v>
          </cell>
          <cell r="O310" t="str">
            <v>Invasivo</v>
          </cell>
          <cell r="R310" t="str">
            <v>Semestral</v>
          </cell>
        </row>
        <row r="311">
          <cell r="C311">
            <v>138</v>
          </cell>
          <cell r="D311" t="str">
            <v>2-120570</v>
          </cell>
          <cell r="E311" t="str">
            <v xml:space="preserve">Ventilador Mecánico </v>
          </cell>
          <cell r="F311" t="str">
            <v>UPC Adulto</v>
          </cell>
          <cell r="G311" t="str">
            <v>UCI Adulto</v>
          </cell>
          <cell r="I311" t="str">
            <v>Adquirido</v>
          </cell>
          <cell r="J311" t="str">
            <v>Puritan Bennett</v>
          </cell>
          <cell r="K311">
            <v>840</v>
          </cell>
          <cell r="L311">
            <v>3512202261</v>
          </cell>
          <cell r="M311">
            <v>2020</v>
          </cell>
          <cell r="N311">
            <v>5</v>
          </cell>
          <cell r="O311" t="str">
            <v>Invasivo</v>
          </cell>
          <cell r="R311" t="str">
            <v>Semestral</v>
          </cell>
        </row>
        <row r="312">
          <cell r="C312">
            <v>139</v>
          </cell>
          <cell r="D312" t="str">
            <v>2-120571</v>
          </cell>
          <cell r="E312" t="str">
            <v xml:space="preserve">Ventilador Mecánico </v>
          </cell>
          <cell r="F312" t="str">
            <v>UPC Adulto</v>
          </cell>
          <cell r="G312" t="str">
            <v>UCI Adulto</v>
          </cell>
          <cell r="I312" t="str">
            <v>Adquirido</v>
          </cell>
          <cell r="J312" t="str">
            <v>Puritan Bennett</v>
          </cell>
          <cell r="K312">
            <v>840</v>
          </cell>
          <cell r="L312">
            <v>3512202219</v>
          </cell>
          <cell r="M312">
            <v>2020</v>
          </cell>
          <cell r="N312">
            <v>5</v>
          </cell>
          <cell r="O312" t="str">
            <v>Invasivo</v>
          </cell>
          <cell r="R312" t="str">
            <v>Semestral</v>
          </cell>
        </row>
        <row r="313">
          <cell r="C313">
            <v>140</v>
          </cell>
          <cell r="D313" t="str">
            <v>2-120837</v>
          </cell>
          <cell r="E313" t="str">
            <v xml:space="preserve">Ventilador Mecánico </v>
          </cell>
          <cell r="F313" t="str">
            <v>UPC Adulto</v>
          </cell>
          <cell r="G313" t="str">
            <v>UCI Adulto</v>
          </cell>
          <cell r="I313" t="str">
            <v>Adquirido</v>
          </cell>
          <cell r="J313" t="str">
            <v>Drager</v>
          </cell>
          <cell r="K313" t="str">
            <v xml:space="preserve">Oxylog 3000 </v>
          </cell>
          <cell r="L313" t="str">
            <v>ASNH-0098</v>
          </cell>
          <cell r="M313">
            <v>2020</v>
          </cell>
          <cell r="N313">
            <v>5</v>
          </cell>
          <cell r="O313" t="str">
            <v>Transporte Invasivo</v>
          </cell>
          <cell r="R313" t="str">
            <v>Semestral</v>
          </cell>
        </row>
        <row r="314">
          <cell r="C314">
            <v>141</v>
          </cell>
          <cell r="D314" t="str">
            <v>2-120836</v>
          </cell>
          <cell r="E314" t="str">
            <v xml:space="preserve">Ventilador Mecánico </v>
          </cell>
          <cell r="F314" t="str">
            <v>Medicina</v>
          </cell>
          <cell r="G314" t="str">
            <v>Medicina interna - 5to piso</v>
          </cell>
          <cell r="H314" t="str">
            <v>SALA PROCEDIMIENTO TNA</v>
          </cell>
          <cell r="I314" t="str">
            <v>Adquirido</v>
          </cell>
          <cell r="J314" t="str">
            <v>Drager</v>
          </cell>
          <cell r="K314" t="str">
            <v xml:space="preserve">Oxylog 3000 </v>
          </cell>
          <cell r="L314" t="str">
            <v>ASNH-0099</v>
          </cell>
          <cell r="M314">
            <v>2020</v>
          </cell>
          <cell r="N314">
            <v>5</v>
          </cell>
          <cell r="O314" t="str">
            <v>Transporte Invasivo</v>
          </cell>
          <cell r="R314" t="str">
            <v>Semestral</v>
          </cell>
        </row>
        <row r="315">
          <cell r="C315">
            <v>142</v>
          </cell>
          <cell r="D315" t="str">
            <v>2-125489</v>
          </cell>
          <cell r="E315" t="str">
            <v xml:space="preserve">Ventilador Mecánico </v>
          </cell>
          <cell r="F315" t="str">
            <v>Equipamiento Clínico</v>
          </cell>
          <cell r="G315" t="str">
            <v>SEC</v>
          </cell>
          <cell r="H315" t="str">
            <v>Bodega</v>
          </cell>
          <cell r="I315" t="str">
            <v>Préstamo</v>
          </cell>
          <cell r="J315" t="str">
            <v xml:space="preserve">Newport </v>
          </cell>
          <cell r="K315" t="str">
            <v>HT70 PLUS</v>
          </cell>
          <cell r="L315" t="str">
            <v>N18HT720321858</v>
          </cell>
          <cell r="M315">
            <v>2020</v>
          </cell>
          <cell r="N315">
            <v>5</v>
          </cell>
          <cell r="O315" t="str">
            <v>Transporte Invasivo</v>
          </cell>
          <cell r="Q315" t="str">
            <v>Equipo es dado de baja el 25 de agosto de 2025</v>
          </cell>
          <cell r="R315" t="str">
            <v>Semestral</v>
          </cell>
        </row>
        <row r="316">
          <cell r="C316">
            <v>143</v>
          </cell>
          <cell r="D316" t="str">
            <v>2-120936</v>
          </cell>
          <cell r="E316" t="str">
            <v xml:space="preserve">Ventilador Mecánico </v>
          </cell>
          <cell r="F316" t="str">
            <v>UPC 3er Piso</v>
          </cell>
          <cell r="G316" t="str">
            <v>UPC 3er Piso</v>
          </cell>
          <cell r="H316" t="str">
            <v>UCI 4</v>
          </cell>
          <cell r="I316" t="str">
            <v>Adquirido</v>
          </cell>
          <cell r="J316" t="str">
            <v>Drager</v>
          </cell>
          <cell r="K316" t="str">
            <v>Evita V800</v>
          </cell>
          <cell r="L316" t="str">
            <v>ASNM-0001</v>
          </cell>
          <cell r="M316">
            <v>2020</v>
          </cell>
          <cell r="N316">
            <v>5</v>
          </cell>
          <cell r="O316" t="str">
            <v>Invasivo</v>
          </cell>
          <cell r="Q316" t="str">
            <v>Equipo reparado por servicio tecnico drager</v>
          </cell>
          <cell r="R316" t="str">
            <v>Semestral</v>
          </cell>
        </row>
        <row r="317">
          <cell r="C317">
            <v>144</v>
          </cell>
          <cell r="D317" t="str">
            <v>2-120937</v>
          </cell>
          <cell r="E317" t="str">
            <v xml:space="preserve">Ventilador Mecánico </v>
          </cell>
          <cell r="F317" t="str">
            <v>UPC 3er Piso</v>
          </cell>
          <cell r="G317" t="str">
            <v>UPC 3er Piso</v>
          </cell>
          <cell r="H317" t="str">
            <v>UCI 1</v>
          </cell>
          <cell r="I317" t="str">
            <v>Adquirido</v>
          </cell>
          <cell r="J317" t="str">
            <v>Drager</v>
          </cell>
          <cell r="K317" t="str">
            <v>Evita V800</v>
          </cell>
          <cell r="L317" t="str">
            <v>ASNK-0048</v>
          </cell>
          <cell r="M317">
            <v>2020</v>
          </cell>
          <cell r="N317">
            <v>5</v>
          </cell>
          <cell r="O317" t="str">
            <v>Invasivo</v>
          </cell>
          <cell r="R317" t="str">
            <v>Semestral</v>
          </cell>
        </row>
        <row r="318">
          <cell r="C318">
            <v>145</v>
          </cell>
          <cell r="D318" t="str">
            <v>2-120938</v>
          </cell>
          <cell r="E318" t="str">
            <v xml:space="preserve">Ventilador Mecánico </v>
          </cell>
          <cell r="F318" t="str">
            <v>UPC 3er Piso</v>
          </cell>
          <cell r="G318" t="str">
            <v>UPC 3er Piso</v>
          </cell>
          <cell r="H318" t="str">
            <v>UCI 7</v>
          </cell>
          <cell r="I318" t="str">
            <v>Adquirido</v>
          </cell>
          <cell r="J318" t="str">
            <v>Drager</v>
          </cell>
          <cell r="K318" t="str">
            <v>Evita V800</v>
          </cell>
          <cell r="L318" t="str">
            <v>ASNK-0047</v>
          </cell>
          <cell r="M318">
            <v>2020</v>
          </cell>
          <cell r="N318">
            <v>5</v>
          </cell>
          <cell r="O318" t="str">
            <v>Invasivo</v>
          </cell>
          <cell r="R318" t="str">
            <v>Semestral</v>
          </cell>
        </row>
        <row r="319">
          <cell r="C319">
            <v>146</v>
          </cell>
          <cell r="D319" t="str">
            <v>2-120939</v>
          </cell>
          <cell r="E319" t="str">
            <v xml:space="preserve">Ventilador Mecánico </v>
          </cell>
          <cell r="F319" t="str">
            <v>UPC 3er Piso</v>
          </cell>
          <cell r="G319" t="str">
            <v>UPC 3er Piso</v>
          </cell>
          <cell r="H319" t="str">
            <v>UCI 3</v>
          </cell>
          <cell r="I319" t="str">
            <v>Adquirido</v>
          </cell>
          <cell r="J319" t="str">
            <v>Drager</v>
          </cell>
          <cell r="K319" t="str">
            <v>Evita V800</v>
          </cell>
          <cell r="L319" t="str">
            <v>ASNK-0043</v>
          </cell>
          <cell r="M319">
            <v>2020</v>
          </cell>
          <cell r="N319">
            <v>5</v>
          </cell>
          <cell r="O319" t="str">
            <v>Invasivo</v>
          </cell>
          <cell r="R319" t="str">
            <v>Semestral</v>
          </cell>
        </row>
        <row r="320">
          <cell r="C320">
            <v>147</v>
          </cell>
          <cell r="D320" t="str">
            <v>2-120940</v>
          </cell>
          <cell r="E320" t="str">
            <v xml:space="preserve">Ventilador Mecánico </v>
          </cell>
          <cell r="F320" t="str">
            <v>UPC 3er Piso</v>
          </cell>
          <cell r="G320" t="str">
            <v>UPC 3er Piso</v>
          </cell>
          <cell r="H320" t="str">
            <v>UCI 5</v>
          </cell>
          <cell r="I320" t="str">
            <v>Adquirido</v>
          </cell>
          <cell r="J320" t="str">
            <v>Drager</v>
          </cell>
          <cell r="K320" t="str">
            <v>Evita V800</v>
          </cell>
          <cell r="L320" t="str">
            <v>ASNK-0046</v>
          </cell>
          <cell r="M320">
            <v>2020</v>
          </cell>
          <cell r="N320">
            <v>5</v>
          </cell>
          <cell r="O320" t="str">
            <v>Invasivo</v>
          </cell>
          <cell r="R320" t="str">
            <v>Semestral</v>
          </cell>
        </row>
        <row r="321">
          <cell r="C321">
            <v>148</v>
          </cell>
          <cell r="D321" t="str">
            <v>2-120941</v>
          </cell>
          <cell r="E321" t="str">
            <v xml:space="preserve">Ventilador Mecánico </v>
          </cell>
          <cell r="F321" t="str">
            <v>UPC 3er Piso</v>
          </cell>
          <cell r="G321" t="str">
            <v>UPC 3er Piso</v>
          </cell>
          <cell r="H321" t="str">
            <v>Sala de equipos</v>
          </cell>
          <cell r="I321" t="str">
            <v>Adquirido</v>
          </cell>
          <cell r="J321" t="str">
            <v>Drager</v>
          </cell>
          <cell r="K321" t="str">
            <v>Evita V800</v>
          </cell>
          <cell r="L321" t="str">
            <v>ASNM-0007</v>
          </cell>
          <cell r="M321">
            <v>2020</v>
          </cell>
          <cell r="N321">
            <v>5</v>
          </cell>
          <cell r="O321" t="str">
            <v>Invasivo</v>
          </cell>
          <cell r="R321" t="str">
            <v>Semestral</v>
          </cell>
        </row>
        <row r="322">
          <cell r="C322">
            <v>149</v>
          </cell>
          <cell r="D322" t="str">
            <v>2-120943</v>
          </cell>
          <cell r="E322" t="str">
            <v xml:space="preserve">Ventilador Mecánico </v>
          </cell>
          <cell r="F322" t="str">
            <v>UPC Adulto</v>
          </cell>
          <cell r="G322" t="str">
            <v>UCI Adulto</v>
          </cell>
          <cell r="I322" t="str">
            <v>Adquirido</v>
          </cell>
          <cell r="J322" t="str">
            <v>Drager</v>
          </cell>
          <cell r="K322" t="str">
            <v>Evita V800</v>
          </cell>
          <cell r="L322" t="str">
            <v>ASNM-0005</v>
          </cell>
          <cell r="M322">
            <v>2020</v>
          </cell>
          <cell r="N322">
            <v>5</v>
          </cell>
          <cell r="O322" t="str">
            <v>Invasivo</v>
          </cell>
          <cell r="Q322" t="str">
            <v>equipo no pasa MP 10 de abril tarjeta main defectuosa ST SE GENERA oc 1488-td25 y la st es la 19-6424</v>
          </cell>
          <cell r="R322" t="str">
            <v>Semestral</v>
          </cell>
        </row>
        <row r="323">
          <cell r="C323">
            <v>150</v>
          </cell>
          <cell r="D323" t="str">
            <v>2-120944</v>
          </cell>
          <cell r="E323" t="str">
            <v xml:space="preserve">Ventilador Mecánico </v>
          </cell>
          <cell r="F323" t="str">
            <v>UPC Adulto</v>
          </cell>
          <cell r="G323" t="str">
            <v>UCI Adulto</v>
          </cell>
          <cell r="I323" t="str">
            <v>Adquirido</v>
          </cell>
          <cell r="J323" t="str">
            <v>Drager</v>
          </cell>
          <cell r="K323" t="str">
            <v>Evita V800</v>
          </cell>
          <cell r="L323" t="str">
            <v>ASNM-0008</v>
          </cell>
          <cell r="M323">
            <v>2020</v>
          </cell>
          <cell r="N323">
            <v>5</v>
          </cell>
          <cell r="O323" t="str">
            <v>Invasivo</v>
          </cell>
          <cell r="R323" t="str">
            <v>Semestral</v>
          </cell>
        </row>
        <row r="324">
          <cell r="C324">
            <v>151</v>
          </cell>
          <cell r="D324" t="str">
            <v>2-120945</v>
          </cell>
          <cell r="E324" t="str">
            <v xml:space="preserve">Ventilador Mecánico </v>
          </cell>
          <cell r="F324" t="str">
            <v>UPC Adulto</v>
          </cell>
          <cell r="G324" t="str">
            <v>UCI Adulto</v>
          </cell>
          <cell r="I324" t="str">
            <v>Adquirido</v>
          </cell>
          <cell r="J324" t="str">
            <v>Drager</v>
          </cell>
          <cell r="K324" t="str">
            <v>Evita V800</v>
          </cell>
          <cell r="L324" t="str">
            <v>ASNK-0045</v>
          </cell>
          <cell r="M324">
            <v>2020</v>
          </cell>
          <cell r="N324">
            <v>5</v>
          </cell>
          <cell r="O324" t="str">
            <v>Invasivo</v>
          </cell>
          <cell r="R324" t="str">
            <v>Semestral</v>
          </cell>
        </row>
        <row r="325">
          <cell r="C325">
            <v>152</v>
          </cell>
          <cell r="D325" t="str">
            <v>2-120946</v>
          </cell>
          <cell r="E325" t="str">
            <v xml:space="preserve">Ventilador Mecánico </v>
          </cell>
          <cell r="F325" t="str">
            <v>UPC Adulto</v>
          </cell>
          <cell r="G325" t="str">
            <v>UCI Adulto</v>
          </cell>
          <cell r="I325" t="str">
            <v>Adquirido</v>
          </cell>
          <cell r="J325" t="str">
            <v>Drager</v>
          </cell>
          <cell r="K325" t="str">
            <v>Evita V800</v>
          </cell>
          <cell r="L325" t="str">
            <v>ASNM-0003</v>
          </cell>
          <cell r="M325">
            <v>2020</v>
          </cell>
          <cell r="N325">
            <v>5</v>
          </cell>
          <cell r="O325" t="str">
            <v>Invasivo</v>
          </cell>
          <cell r="R325" t="str">
            <v>Semestral</v>
          </cell>
        </row>
        <row r="326">
          <cell r="C326">
            <v>153</v>
          </cell>
          <cell r="D326" t="str">
            <v>2-120947</v>
          </cell>
          <cell r="E326" t="str">
            <v xml:space="preserve">Ventilador Mecánico </v>
          </cell>
          <cell r="F326" t="str">
            <v>UPC Adulto</v>
          </cell>
          <cell r="G326" t="str">
            <v>UCI Adulto</v>
          </cell>
          <cell r="I326" t="str">
            <v>Adquirido</v>
          </cell>
          <cell r="J326" t="str">
            <v>Drager</v>
          </cell>
          <cell r="K326" t="str">
            <v>Evita V800</v>
          </cell>
          <cell r="L326" t="str">
            <v>ASNM-0006</v>
          </cell>
          <cell r="M326">
            <v>2020</v>
          </cell>
          <cell r="N326">
            <v>5</v>
          </cell>
          <cell r="O326" t="str">
            <v>Invasivo</v>
          </cell>
          <cell r="Q326" t="str">
            <v>Equipo con falla en mini pantalla auxiliar, equipo fuera de servicio ST</v>
          </cell>
          <cell r="R326" t="str">
            <v>Semestral</v>
          </cell>
        </row>
        <row r="327">
          <cell r="C327">
            <v>154</v>
          </cell>
          <cell r="D327" t="str">
            <v>2-120948</v>
          </cell>
          <cell r="E327" t="str">
            <v xml:space="preserve">Ventilador Mecánico </v>
          </cell>
          <cell r="F327" t="str">
            <v>UPC Adulto</v>
          </cell>
          <cell r="G327" t="str">
            <v>UCI Adulto</v>
          </cell>
          <cell r="I327" t="str">
            <v>Adquirido</v>
          </cell>
          <cell r="J327" t="str">
            <v>Drager</v>
          </cell>
          <cell r="K327" t="str">
            <v>Evita V800</v>
          </cell>
          <cell r="L327" t="str">
            <v>ASNM-0002</v>
          </cell>
          <cell r="M327">
            <v>2020</v>
          </cell>
          <cell r="N327">
            <v>5</v>
          </cell>
          <cell r="O327" t="str">
            <v>Invasivo</v>
          </cell>
          <cell r="R327" t="str">
            <v>Semestral</v>
          </cell>
        </row>
        <row r="328">
          <cell r="C328">
            <v>155</v>
          </cell>
          <cell r="D328" t="str">
            <v>2-121217</v>
          </cell>
          <cell r="E328" t="str">
            <v xml:space="preserve">Ventilador Mecánico </v>
          </cell>
          <cell r="F328" t="str">
            <v>UPC Adulto</v>
          </cell>
          <cell r="G328" t="str">
            <v>UCI Adulto</v>
          </cell>
          <cell r="I328" t="str">
            <v>Préstamo MINSAL</v>
          </cell>
          <cell r="J328" t="str">
            <v>MEK ICS</v>
          </cell>
          <cell r="K328" t="str">
            <v>MV2000 EVO5</v>
          </cell>
          <cell r="L328" t="str">
            <v>MV2000UA1D1021</v>
          </cell>
          <cell r="M328">
            <v>2021</v>
          </cell>
          <cell r="N328">
            <v>6</v>
          </cell>
          <cell r="O328" t="str">
            <v>Invasivo</v>
          </cell>
          <cell r="Q328" t="str">
            <v>Equipo es dado de baja con fecha 30-09-2025</v>
          </cell>
          <cell r="R328" t="str">
            <v>Semestral</v>
          </cell>
        </row>
        <row r="329">
          <cell r="C329">
            <v>156</v>
          </cell>
          <cell r="D329" t="str">
            <v>2-121218</v>
          </cell>
          <cell r="E329" t="str">
            <v xml:space="preserve">Ventilador Mecánico </v>
          </cell>
          <cell r="F329" t="str">
            <v>UPC 3er Piso</v>
          </cell>
          <cell r="G329" t="str">
            <v>UPC 3er Piso</v>
          </cell>
          <cell r="H329" t="str">
            <v>Bodega</v>
          </cell>
          <cell r="I329" t="str">
            <v>Préstamo MINSAL</v>
          </cell>
          <cell r="J329" t="str">
            <v>MEK ICS</v>
          </cell>
          <cell r="K329" t="str">
            <v>MTV1000</v>
          </cell>
          <cell r="L329" t="str">
            <v>MTV1KUA1B0082</v>
          </cell>
          <cell r="M329">
            <v>2021</v>
          </cell>
          <cell r="N329">
            <v>6</v>
          </cell>
          <cell r="O329" t="str">
            <v>Transporte Invasivo</v>
          </cell>
          <cell r="R329" t="str">
            <v>Semestral</v>
          </cell>
        </row>
        <row r="330">
          <cell r="C330">
            <v>157</v>
          </cell>
          <cell r="D330" t="str">
            <v>2-121219</v>
          </cell>
          <cell r="E330" t="str">
            <v xml:space="preserve">Ventilador Mecánico </v>
          </cell>
          <cell r="F330" t="str">
            <v>UPC 3er Piso</v>
          </cell>
          <cell r="G330" t="str">
            <v>UPC 3er Piso</v>
          </cell>
          <cell r="H330" t="str">
            <v>Sala de equipos</v>
          </cell>
          <cell r="I330" t="str">
            <v>Préstamo MINSAL</v>
          </cell>
          <cell r="J330" t="str">
            <v>MEK ICS</v>
          </cell>
          <cell r="K330" t="str">
            <v>MTV1000</v>
          </cell>
          <cell r="L330" t="str">
            <v>MTV1KUA1B0031</v>
          </cell>
          <cell r="M330">
            <v>2021</v>
          </cell>
          <cell r="N330">
            <v>6</v>
          </cell>
          <cell r="O330" t="str">
            <v>Transporte Invasivo</v>
          </cell>
          <cell r="Q330" t="str">
            <v>Equipo enviado a ST</v>
          </cell>
          <cell r="R330" t="str">
            <v>Semestral</v>
          </cell>
        </row>
        <row r="331">
          <cell r="C331">
            <v>158</v>
          </cell>
          <cell r="D331" t="str">
            <v>2-121220</v>
          </cell>
          <cell r="E331" t="str">
            <v xml:space="preserve">Ventilador Mecánico </v>
          </cell>
          <cell r="F331" t="str">
            <v>UPC 3er Piso</v>
          </cell>
          <cell r="G331" t="str">
            <v>UPC 3er Piso</v>
          </cell>
          <cell r="H331" t="str">
            <v>Sala de equipos</v>
          </cell>
          <cell r="I331" t="str">
            <v>Préstamo MINSAL</v>
          </cell>
          <cell r="J331" t="str">
            <v>MEK ICS</v>
          </cell>
          <cell r="K331" t="str">
            <v>MTV1000</v>
          </cell>
          <cell r="L331" t="str">
            <v>MTV1KUA1B0051</v>
          </cell>
          <cell r="M331">
            <v>2021</v>
          </cell>
          <cell r="N331">
            <v>6</v>
          </cell>
          <cell r="O331" t="str">
            <v>Transporte Invasivo</v>
          </cell>
          <cell r="R331" t="str">
            <v>Semestral</v>
          </cell>
        </row>
        <row r="332">
          <cell r="C332">
            <v>159</v>
          </cell>
          <cell r="D332" t="str">
            <v>2-121780</v>
          </cell>
          <cell r="E332" t="str">
            <v xml:space="preserve">Ventilador Mecánico </v>
          </cell>
          <cell r="F332" t="str">
            <v>UPC Cardiovascular</v>
          </cell>
          <cell r="G332" t="str">
            <v>UCI Cardiovascular</v>
          </cell>
          <cell r="I332" t="str">
            <v>Préstamo MINSAL</v>
          </cell>
          <cell r="J332" t="str">
            <v>Puritan Bennett</v>
          </cell>
          <cell r="K332" t="str">
            <v>980/cc</v>
          </cell>
          <cell r="L332" t="str">
            <v>35B2101527</v>
          </cell>
          <cell r="M332">
            <v>2022</v>
          </cell>
          <cell r="N332">
            <v>7</v>
          </cell>
          <cell r="O332" t="str">
            <v>Invasivo</v>
          </cell>
          <cell r="R332" t="str">
            <v>Semestral</v>
          </cell>
        </row>
        <row r="333">
          <cell r="C333">
            <v>160</v>
          </cell>
          <cell r="D333" t="str">
            <v>2-121781</v>
          </cell>
          <cell r="E333" t="str">
            <v xml:space="preserve">Ventilador Mecánico </v>
          </cell>
          <cell r="F333" t="str">
            <v>UPC Cardiovascular</v>
          </cell>
          <cell r="G333" t="str">
            <v>UCI Cardiovascular</v>
          </cell>
          <cell r="H333" t="str">
            <v>Sala de equipos</v>
          </cell>
          <cell r="I333" t="str">
            <v>Adquirido</v>
          </cell>
          <cell r="J333" t="str">
            <v>Puritan Bennett</v>
          </cell>
          <cell r="K333" t="str">
            <v>980/cc</v>
          </cell>
          <cell r="L333" t="str">
            <v>35B2101475</v>
          </cell>
          <cell r="M333">
            <v>2023</v>
          </cell>
          <cell r="N333">
            <v>8</v>
          </cell>
          <cell r="O333" t="str">
            <v>Invasivo</v>
          </cell>
          <cell r="R333" t="str">
            <v>Semestral</v>
          </cell>
        </row>
        <row r="334">
          <cell r="C334">
            <v>161</v>
          </cell>
          <cell r="D334" t="str">
            <v>2-133374</v>
          </cell>
          <cell r="E334" t="str">
            <v xml:space="preserve">Ventilador Mecánico </v>
          </cell>
          <cell r="F334" t="str">
            <v>UPC Cardiovascular</v>
          </cell>
          <cell r="G334" t="str">
            <v>UCI Cardiovascular</v>
          </cell>
          <cell r="H334" t="str">
            <v>Sala de equipos</v>
          </cell>
          <cell r="I334" t="str">
            <v>Entrega MINSAL</v>
          </cell>
          <cell r="J334" t="str">
            <v>Puritan Bennett</v>
          </cell>
          <cell r="K334">
            <v>980</v>
          </cell>
          <cell r="L334" t="str">
            <v>35B2101446</v>
          </cell>
          <cell r="M334">
            <v>2023</v>
          </cell>
          <cell r="N334">
            <v>8</v>
          </cell>
          <cell r="O334" t="str">
            <v>Invasivo</v>
          </cell>
          <cell r="Q334" t="str">
            <v>Puesta en marcha 19-11-24</v>
          </cell>
          <cell r="R334" t="str">
            <v>Semestral</v>
          </cell>
        </row>
        <row r="335">
          <cell r="C335">
            <v>162</v>
          </cell>
          <cell r="D335" t="str">
            <v>200717-005592</v>
          </cell>
          <cell r="E335" t="str">
            <v xml:space="preserve">Ventilador Mecánico </v>
          </cell>
          <cell r="F335" t="str">
            <v>UPC 3er Piso</v>
          </cell>
          <cell r="G335" t="str">
            <v>UCI 3er Piso</v>
          </cell>
          <cell r="I335" t="str">
            <v>Préstamo de Complejo Asistencial Padre las Casas</v>
          </cell>
          <cell r="J335" t="str">
            <v>Puritan Bennett</v>
          </cell>
          <cell r="K335">
            <v>840</v>
          </cell>
          <cell r="L335">
            <v>3512202272</v>
          </cell>
          <cell r="M335">
            <v>2025</v>
          </cell>
          <cell r="N335">
            <v>10</v>
          </cell>
          <cell r="O335" t="str">
            <v>Invasivo</v>
          </cell>
          <cell r="Q335" t="str">
            <v>Puesta en marcha 19-06-25</v>
          </cell>
          <cell r="R335" t="str">
            <v>Semestral</v>
          </cell>
        </row>
        <row r="336">
          <cell r="C336">
            <v>163</v>
          </cell>
          <cell r="D336" t="str">
            <v>200717-005511</v>
          </cell>
          <cell r="E336" t="str">
            <v xml:space="preserve">Ventilador Mecánico </v>
          </cell>
          <cell r="F336" t="str">
            <v>UPC 3er Piso</v>
          </cell>
          <cell r="G336" t="str">
            <v>UCI 3er Piso</v>
          </cell>
          <cell r="I336" t="str">
            <v>Préstamo de Complejo Asistencial Padre las Casas</v>
          </cell>
          <cell r="J336" t="str">
            <v>Puritan Bennett</v>
          </cell>
          <cell r="K336">
            <v>840</v>
          </cell>
          <cell r="L336">
            <v>3512202231</v>
          </cell>
          <cell r="M336">
            <v>2025</v>
          </cell>
          <cell r="N336">
            <v>10</v>
          </cell>
          <cell r="O336" t="str">
            <v>Invasivo</v>
          </cell>
          <cell r="Q336" t="str">
            <v>Puesta en marcha 19-06-25</v>
          </cell>
          <cell r="R336" t="str">
            <v>Semestral</v>
          </cell>
        </row>
        <row r="337">
          <cell r="C337">
            <v>164</v>
          </cell>
          <cell r="D337" t="str">
            <v>200717-001961</v>
          </cell>
          <cell r="E337" t="str">
            <v xml:space="preserve">Ventilador Mecánico </v>
          </cell>
          <cell r="F337" t="str">
            <v>UPC 3er Piso</v>
          </cell>
          <cell r="I337" t="str">
            <v>Préstamo Complejo Asistencial Padre las Casas</v>
          </cell>
          <cell r="J337" t="str">
            <v>Aeonmed</v>
          </cell>
          <cell r="K337" t="str">
            <v>VG70</v>
          </cell>
          <cell r="L337" t="str">
            <v>VG70(E)XZZT15424</v>
          </cell>
          <cell r="M337">
            <v>2025</v>
          </cell>
          <cell r="N337">
            <v>10</v>
          </cell>
          <cell r="O337" t="str">
            <v>Invasivo</v>
          </cell>
          <cell r="Q337" t="str">
            <v>Puesta en marcha 19-06-25</v>
          </cell>
          <cell r="R337" t="str">
            <v>Semestral</v>
          </cell>
        </row>
        <row r="338">
          <cell r="C338">
            <v>165</v>
          </cell>
          <cell r="D338" t="str">
            <v>2-125250</v>
          </cell>
          <cell r="E338" t="str">
            <v xml:space="preserve">Ventilador Mecánico </v>
          </cell>
          <cell r="F338" t="str">
            <v>UPC Pediátrica</v>
          </cell>
          <cell r="G338" t="str">
            <v>UCI Pediátrica</v>
          </cell>
          <cell r="H338" t="str">
            <v>Sala de equipos</v>
          </cell>
          <cell r="I338" t="str">
            <v>Arriendo</v>
          </cell>
          <cell r="J338" t="str">
            <v>Philips</v>
          </cell>
          <cell r="K338" t="str">
            <v>Trilogy EV300</v>
          </cell>
          <cell r="L338" t="str">
            <v>H29942683ADD6</v>
          </cell>
          <cell r="M338">
            <v>2023</v>
          </cell>
          <cell r="N338">
            <v>8</v>
          </cell>
          <cell r="O338" t="str">
            <v>Invasivo</v>
          </cell>
          <cell r="R338" t="str">
            <v>Semestral</v>
          </cell>
        </row>
        <row r="339">
          <cell r="C339">
            <v>166</v>
          </cell>
          <cell r="D339" t="str">
            <v>2-116493</v>
          </cell>
          <cell r="E339" t="str">
            <v xml:space="preserve">Ventilador Mecánico </v>
          </cell>
          <cell r="F339" t="str">
            <v>UPC Pediátrica</v>
          </cell>
          <cell r="G339" t="str">
            <v>UCI Pediátrica</v>
          </cell>
          <cell r="H339" t="str">
            <v>Sala de equipos</v>
          </cell>
          <cell r="I339" t="str">
            <v>Adquirido</v>
          </cell>
          <cell r="J339" t="str">
            <v>Philips</v>
          </cell>
          <cell r="K339" t="str">
            <v>Trilogy 202</v>
          </cell>
          <cell r="L339" t="str">
            <v>TV018020609</v>
          </cell>
          <cell r="M339">
            <v>2023</v>
          </cell>
          <cell r="N339">
            <v>8</v>
          </cell>
          <cell r="O339" t="str">
            <v>Invasivo</v>
          </cell>
          <cell r="R339" t="str">
            <v>Semestral</v>
          </cell>
        </row>
        <row r="340">
          <cell r="C340">
            <v>167</v>
          </cell>
          <cell r="D340" t="str">
            <v>2-116494</v>
          </cell>
          <cell r="E340" t="str">
            <v xml:space="preserve">Ventilador Mecánico </v>
          </cell>
          <cell r="F340" t="str">
            <v>UPC Pediátrica</v>
          </cell>
          <cell r="G340" t="str">
            <v>UCI Pediátrica</v>
          </cell>
          <cell r="H340" t="str">
            <v>Sala de equipos</v>
          </cell>
          <cell r="I340" t="str">
            <v>Adquirido</v>
          </cell>
          <cell r="J340" t="str">
            <v>Philips</v>
          </cell>
          <cell r="K340" t="str">
            <v>Trilogy 202</v>
          </cell>
          <cell r="L340" t="str">
            <v>TV01802060A</v>
          </cell>
          <cell r="M340">
            <v>2023</v>
          </cell>
          <cell r="N340">
            <v>8</v>
          </cell>
          <cell r="O340" t="str">
            <v>Invasivo</v>
          </cell>
          <cell r="R340" t="str">
            <v>Semestral</v>
          </cell>
        </row>
        <row r="341">
          <cell r="C341">
            <v>168</v>
          </cell>
          <cell r="D341" t="str">
            <v>2-116495</v>
          </cell>
          <cell r="E341" t="str">
            <v xml:space="preserve">Ventilador Mecánico </v>
          </cell>
          <cell r="F341" t="str">
            <v>UPC Pediátrica</v>
          </cell>
          <cell r="G341" t="str">
            <v>UCI Pediátrica</v>
          </cell>
          <cell r="H341" t="str">
            <v>Sala de equipos</v>
          </cell>
          <cell r="I341" t="str">
            <v>Adquirido</v>
          </cell>
          <cell r="J341" t="str">
            <v>Philips</v>
          </cell>
          <cell r="K341" t="str">
            <v>Trilogy 202</v>
          </cell>
          <cell r="L341" t="str">
            <v>TV018020612</v>
          </cell>
          <cell r="M341">
            <v>2023</v>
          </cell>
          <cell r="N341">
            <v>8</v>
          </cell>
          <cell r="O341" t="str">
            <v>Invasivo</v>
          </cell>
          <cell r="Q341" t="str">
            <v>Equipo enviado a ST #227 Folio OT 19-18795</v>
          </cell>
          <cell r="R341" t="str">
            <v>Semestral</v>
          </cell>
        </row>
        <row r="342">
          <cell r="C342">
            <v>169</v>
          </cell>
          <cell r="D342" t="str">
            <v>2-116496</v>
          </cell>
          <cell r="E342" t="str">
            <v xml:space="preserve">Ventilador Mecánico </v>
          </cell>
          <cell r="F342" t="str">
            <v>UPC Pediátrica</v>
          </cell>
          <cell r="G342" t="str">
            <v>UCI Pediátrica</v>
          </cell>
          <cell r="H342" t="str">
            <v>Sala de equipos</v>
          </cell>
          <cell r="I342" t="str">
            <v>Adquirido</v>
          </cell>
          <cell r="J342" t="str">
            <v>Philips</v>
          </cell>
          <cell r="K342" t="str">
            <v>Trilogy 202</v>
          </cell>
          <cell r="L342" t="str">
            <v>TV018021903</v>
          </cell>
          <cell r="M342">
            <v>2023</v>
          </cell>
          <cell r="N342">
            <v>8</v>
          </cell>
          <cell r="O342" t="str">
            <v>Invasivo</v>
          </cell>
          <cell r="R342" t="str">
            <v>Semestral</v>
          </cell>
        </row>
        <row r="343">
          <cell r="C343">
            <v>170</v>
          </cell>
          <cell r="D343" t="str">
            <v>2-116497</v>
          </cell>
          <cell r="E343" t="str">
            <v xml:space="preserve">Ventilador Mecánico </v>
          </cell>
          <cell r="F343" t="str">
            <v>UPC Pediátrica</v>
          </cell>
          <cell r="G343" t="str">
            <v>UCI Pediátrica</v>
          </cell>
          <cell r="H343" t="str">
            <v>Sala de equipos</v>
          </cell>
          <cell r="I343" t="str">
            <v>Adquirido</v>
          </cell>
          <cell r="J343" t="str">
            <v>Philips</v>
          </cell>
          <cell r="K343" t="str">
            <v>Trilogy 202</v>
          </cell>
          <cell r="L343" t="str">
            <v>TV018021907</v>
          </cell>
          <cell r="M343">
            <v>2023</v>
          </cell>
          <cell r="N343">
            <v>8</v>
          </cell>
          <cell r="O343" t="str">
            <v>Invasivo</v>
          </cell>
          <cell r="Q343" t="str">
            <v>Equipo reparado por servicio  tecnico, mantencion preventiva realizada, equipo operativo.</v>
          </cell>
          <cell r="R343" t="str">
            <v>Semestral</v>
          </cell>
        </row>
        <row r="344">
          <cell r="C344">
            <v>171</v>
          </cell>
          <cell r="D344" t="str">
            <v>2-116498</v>
          </cell>
          <cell r="E344" t="str">
            <v xml:space="preserve">Ventilador Mecánico </v>
          </cell>
          <cell r="F344" t="str">
            <v>UPC Pediátrica</v>
          </cell>
          <cell r="G344" t="str">
            <v>UCI Pediátrica</v>
          </cell>
          <cell r="H344" t="str">
            <v>Sala de equipos</v>
          </cell>
          <cell r="I344" t="str">
            <v>Adquirido</v>
          </cell>
          <cell r="J344" t="str">
            <v>Philips</v>
          </cell>
          <cell r="K344" t="str">
            <v>Trilogy 202</v>
          </cell>
          <cell r="L344" t="str">
            <v>TV018021909</v>
          </cell>
          <cell r="M344">
            <v>2023</v>
          </cell>
          <cell r="N344">
            <v>8</v>
          </cell>
          <cell r="O344" t="str">
            <v>Invasivo</v>
          </cell>
          <cell r="Q344" t="str">
            <v>Equipo devuelto y reparado por servicio tecnico equipo se encuentra operativo y con su mantención preventiva realizada</v>
          </cell>
          <cell r="R344" t="str">
            <v>Semestral</v>
          </cell>
        </row>
        <row r="345">
          <cell r="C345">
            <v>172</v>
          </cell>
          <cell r="D345" t="str">
            <v>2-116499</v>
          </cell>
          <cell r="E345" t="str">
            <v xml:space="preserve">Ventilador Mecánico </v>
          </cell>
          <cell r="F345" t="str">
            <v>UPC Pediátrica</v>
          </cell>
          <cell r="G345" t="str">
            <v>UCI Pediátrica</v>
          </cell>
          <cell r="H345" t="str">
            <v>Sala de equipos</v>
          </cell>
          <cell r="I345" t="str">
            <v>Adquirido</v>
          </cell>
          <cell r="J345" t="str">
            <v>Philips</v>
          </cell>
          <cell r="K345" t="str">
            <v>Trilogy 202</v>
          </cell>
          <cell r="L345" t="str">
            <v>TV01802190A</v>
          </cell>
          <cell r="M345">
            <v>2023</v>
          </cell>
          <cell r="N345">
            <v>8</v>
          </cell>
          <cell r="O345" t="str">
            <v>Invasivo</v>
          </cell>
          <cell r="R345" t="str">
            <v>Semestral</v>
          </cell>
        </row>
        <row r="346">
          <cell r="C346">
            <v>173</v>
          </cell>
          <cell r="D346" t="str">
            <v>2-116500</v>
          </cell>
          <cell r="E346" t="str">
            <v xml:space="preserve">Ventilador Mecánico </v>
          </cell>
          <cell r="F346" t="str">
            <v>UPC Pediátrica</v>
          </cell>
          <cell r="G346" t="str">
            <v>UCI Pediátrica</v>
          </cell>
          <cell r="H346" t="str">
            <v>Sala de equipos</v>
          </cell>
          <cell r="I346" t="str">
            <v>Adquirido</v>
          </cell>
          <cell r="J346" t="str">
            <v>Philips</v>
          </cell>
          <cell r="K346" t="str">
            <v>Trilogy 202</v>
          </cell>
          <cell r="L346" t="str">
            <v>TV01802190B</v>
          </cell>
          <cell r="M346">
            <v>2023</v>
          </cell>
          <cell r="N346">
            <v>8</v>
          </cell>
          <cell r="O346" t="str">
            <v>Invasivo</v>
          </cell>
          <cell r="Q346" t="str">
            <v>Equipo enviado a ST #178 enviado por R. Matus el 25-08-2025</v>
          </cell>
          <cell r="R346" t="str">
            <v>Semestral</v>
          </cell>
        </row>
        <row r="347">
          <cell r="C347">
            <v>174</v>
          </cell>
          <cell r="D347" t="str">
            <v>2-116501</v>
          </cell>
          <cell r="E347" t="str">
            <v xml:space="preserve">Ventilador Mecánico </v>
          </cell>
          <cell r="F347" t="str">
            <v>UPC Pediátrica</v>
          </cell>
          <cell r="G347" t="str">
            <v>UCI Pediátrica</v>
          </cell>
          <cell r="H347" t="str">
            <v>Sala de equipos</v>
          </cell>
          <cell r="I347" t="str">
            <v>Adquirido</v>
          </cell>
          <cell r="J347" t="str">
            <v>Philips</v>
          </cell>
          <cell r="K347" t="str">
            <v>Trilogy 202</v>
          </cell>
          <cell r="L347" t="str">
            <v>TV01802190C</v>
          </cell>
          <cell r="M347">
            <v>2023</v>
          </cell>
          <cell r="N347">
            <v>8</v>
          </cell>
          <cell r="O347" t="str">
            <v>Invasivo</v>
          </cell>
          <cell r="R347" t="str">
            <v>Semestral</v>
          </cell>
        </row>
        <row r="348">
          <cell r="C348">
            <v>175</v>
          </cell>
          <cell r="D348" t="str">
            <v>2-119582</v>
          </cell>
          <cell r="E348" t="str">
            <v xml:space="preserve">Ventilador Mecánico </v>
          </cell>
          <cell r="F348" t="str">
            <v>Hospitalización Domiciliaria</v>
          </cell>
          <cell r="G348" t="str">
            <v>Servicio programas ambulatorios</v>
          </cell>
          <cell r="H348" t="str">
            <v>Domicilio de paciente</v>
          </cell>
          <cell r="I348" t="str">
            <v>Adquirido</v>
          </cell>
          <cell r="J348" t="str">
            <v>Philips</v>
          </cell>
          <cell r="K348" t="str">
            <v>Trilogy EVO</v>
          </cell>
          <cell r="L348" t="str">
            <v>H27247766FFE4</v>
          </cell>
          <cell r="M348">
            <v>2023</v>
          </cell>
          <cell r="N348">
            <v>8</v>
          </cell>
          <cell r="O348" t="str">
            <v>Invasivo</v>
          </cell>
          <cell r="R348" t="str">
            <v>Semestral</v>
          </cell>
        </row>
        <row r="349">
          <cell r="C349">
            <v>176</v>
          </cell>
          <cell r="D349" t="str">
            <v>N/A</v>
          </cell>
          <cell r="E349" t="str">
            <v xml:space="preserve">Ventilador Mecánico </v>
          </cell>
          <cell r="F349" t="str">
            <v>UPC Pediátrica</v>
          </cell>
          <cell r="G349" t="str">
            <v>UPC Pediátrica</v>
          </cell>
          <cell r="H349" t="str">
            <v>Sala de equipos</v>
          </cell>
          <cell r="I349" t="str">
            <v>Adquirido</v>
          </cell>
          <cell r="J349" t="str">
            <v>Philips</v>
          </cell>
          <cell r="K349" t="str">
            <v>Trilogy EVO</v>
          </cell>
          <cell r="L349" t="str">
            <v>H2950996182E2</v>
          </cell>
          <cell r="M349">
            <v>2025</v>
          </cell>
          <cell r="N349">
            <v>10</v>
          </cell>
          <cell r="O349" t="str">
            <v>Invasivo</v>
          </cell>
          <cell r="Q349" t="str">
            <v>Equipo es devuelto a servicio tecnico el 01-10-2025 #209 baja</v>
          </cell>
          <cell r="R349" t="str">
            <v>Semestral</v>
          </cell>
        </row>
        <row r="350">
          <cell r="C350">
            <v>177</v>
          </cell>
          <cell r="D350" t="str">
            <v>2-134627</v>
          </cell>
          <cell r="E350" t="str">
            <v xml:space="preserve">Ventilador Mecánico </v>
          </cell>
          <cell r="F350" t="str">
            <v>UPC Pediátrica</v>
          </cell>
          <cell r="G350" t="str">
            <v>UPC Pediátrica</v>
          </cell>
          <cell r="H350" t="str">
            <v>Sala de equipos</v>
          </cell>
          <cell r="I350" t="str">
            <v>Adquirido</v>
          </cell>
          <cell r="J350" t="str">
            <v>Yuwell</v>
          </cell>
          <cell r="K350" t="str">
            <v>YH-830</v>
          </cell>
          <cell r="L350" t="str">
            <v>YH830-V24C35011</v>
          </cell>
          <cell r="M350">
            <v>2025</v>
          </cell>
          <cell r="N350">
            <v>10</v>
          </cell>
          <cell r="O350" t="str">
            <v>Invasivo</v>
          </cell>
          <cell r="R350" t="str">
            <v>Semestral</v>
          </cell>
        </row>
        <row r="351">
          <cell r="C351">
            <v>178</v>
          </cell>
          <cell r="D351" t="str">
            <v>2-134628</v>
          </cell>
          <cell r="E351" t="str">
            <v xml:space="preserve">Ventilador Mecánico </v>
          </cell>
          <cell r="F351" t="str">
            <v>UPC Pediátrica</v>
          </cell>
          <cell r="G351" t="str">
            <v>UPC Pediátrica</v>
          </cell>
          <cell r="H351" t="str">
            <v>Sala de equipos</v>
          </cell>
          <cell r="I351" t="str">
            <v>Adquirido</v>
          </cell>
          <cell r="J351" t="str">
            <v>Yuwell</v>
          </cell>
          <cell r="K351" t="str">
            <v>YH-830</v>
          </cell>
          <cell r="L351" t="str">
            <v>YH830A-V24C35013</v>
          </cell>
          <cell r="M351">
            <v>2025</v>
          </cell>
          <cell r="N351">
            <v>10</v>
          </cell>
          <cell r="O351" t="str">
            <v>Invasivo</v>
          </cell>
          <cell r="R351" t="str">
            <v>Semestral</v>
          </cell>
        </row>
        <row r="352">
          <cell r="C352">
            <v>179</v>
          </cell>
          <cell r="D352" t="str">
            <v>2-134629</v>
          </cell>
          <cell r="E352" t="str">
            <v xml:space="preserve">Ventilador Mecánico </v>
          </cell>
          <cell r="F352" t="str">
            <v>UPC Pediátrica</v>
          </cell>
          <cell r="G352" t="str">
            <v>UPC Pediátrica</v>
          </cell>
          <cell r="H352" t="str">
            <v>Sala de equipos</v>
          </cell>
          <cell r="I352" t="str">
            <v>Adquirido</v>
          </cell>
          <cell r="J352" t="str">
            <v>Yuwell</v>
          </cell>
          <cell r="K352" t="str">
            <v>YH-830</v>
          </cell>
          <cell r="L352" t="str">
            <v>YH830A-V25132020</v>
          </cell>
          <cell r="M352">
            <v>2025</v>
          </cell>
          <cell r="N352">
            <v>10</v>
          </cell>
          <cell r="O352" t="str">
            <v>Invasivo</v>
          </cell>
          <cell r="R352" t="str">
            <v>Semestral</v>
          </cell>
        </row>
        <row r="353">
          <cell r="C353">
            <v>180</v>
          </cell>
          <cell r="D353" t="str">
            <v>2-134630</v>
          </cell>
          <cell r="E353" t="str">
            <v xml:space="preserve">Ventilador Mecánico </v>
          </cell>
          <cell r="F353" t="str">
            <v>UPC Pediátrica</v>
          </cell>
          <cell r="G353" t="str">
            <v>UPC Pediátrica</v>
          </cell>
          <cell r="H353" t="str">
            <v>Sala de equipos</v>
          </cell>
          <cell r="I353" t="str">
            <v>Adquirido</v>
          </cell>
          <cell r="J353" t="str">
            <v>Yuwell</v>
          </cell>
          <cell r="K353" t="str">
            <v>YH-830</v>
          </cell>
          <cell r="L353" t="str">
            <v>YH830A-V24C35008</v>
          </cell>
          <cell r="M353">
            <v>2025</v>
          </cell>
          <cell r="N353">
            <v>10</v>
          </cell>
          <cell r="O353" t="str">
            <v>Invasivo</v>
          </cell>
          <cell r="R353" t="str">
            <v>Semestral</v>
          </cell>
        </row>
        <row r="354">
          <cell r="C354">
            <v>1</v>
          </cell>
          <cell r="D354" t="str">
            <v>2-007495</v>
          </cell>
          <cell r="E354" t="str">
            <v>Monitor Multiparámetros</v>
          </cell>
          <cell r="F354" t="str">
            <v>UPC Adulto</v>
          </cell>
          <cell r="G354" t="str">
            <v>UCI Adulto</v>
          </cell>
          <cell r="H354" t="str">
            <v>CAMA 6</v>
          </cell>
          <cell r="I354" t="str">
            <v>Adquirido</v>
          </cell>
          <cell r="J354" t="str">
            <v xml:space="preserve">Drager </v>
          </cell>
          <cell r="K354" t="str">
            <v xml:space="preserve">Infinity Kappa </v>
          </cell>
          <cell r="L354">
            <v>5494254562</v>
          </cell>
          <cell r="M354">
            <v>2010</v>
          </cell>
          <cell r="N354">
            <v>-5</v>
          </cell>
          <cell r="O354" t="str">
            <v>Invasivo</v>
          </cell>
          <cell r="R354" t="str">
            <v>Semestral</v>
          </cell>
        </row>
        <row r="355">
          <cell r="C355">
            <v>2</v>
          </cell>
          <cell r="D355" t="str">
            <v>2-016863</v>
          </cell>
          <cell r="E355" t="str">
            <v>Monitor Multiparámetros</v>
          </cell>
          <cell r="F355" t="str">
            <v>UPC Adulto</v>
          </cell>
          <cell r="G355" t="str">
            <v>UCI Adulto</v>
          </cell>
          <cell r="H355" t="str">
            <v>CAMA 4</v>
          </cell>
          <cell r="I355" t="str">
            <v>Adquirido</v>
          </cell>
          <cell r="J355" t="str">
            <v xml:space="preserve">Drager </v>
          </cell>
          <cell r="K355" t="str">
            <v xml:space="preserve">Infinity Kappa </v>
          </cell>
          <cell r="L355">
            <v>5494252457</v>
          </cell>
          <cell r="M355">
            <v>2010</v>
          </cell>
          <cell r="N355">
            <v>-5</v>
          </cell>
          <cell r="O355" t="str">
            <v>Invasivo</v>
          </cell>
          <cell r="R355" t="str">
            <v>Semestral</v>
          </cell>
        </row>
        <row r="356">
          <cell r="C356">
            <v>3</v>
          </cell>
          <cell r="D356" t="str">
            <v>2-112537</v>
          </cell>
          <cell r="E356" t="str">
            <v>Monitor Multiparámetros</v>
          </cell>
          <cell r="F356" t="str">
            <v>UPC Adulto</v>
          </cell>
          <cell r="G356" t="str">
            <v>UCI Adulto</v>
          </cell>
          <cell r="H356" t="str">
            <v>CAMA 12</v>
          </cell>
          <cell r="I356" t="str">
            <v>Adquirido</v>
          </cell>
          <cell r="J356" t="str">
            <v xml:space="preserve">Drager </v>
          </cell>
          <cell r="K356" t="str">
            <v xml:space="preserve">Infinity Kappa </v>
          </cell>
          <cell r="L356">
            <v>5494254161</v>
          </cell>
          <cell r="M356">
            <v>2010</v>
          </cell>
          <cell r="N356">
            <v>-5</v>
          </cell>
          <cell r="O356" t="str">
            <v>Invasivo</v>
          </cell>
          <cell r="Q356" t="str">
            <v>Equipo enviado a ST #238</v>
          </cell>
          <cell r="R356" t="str">
            <v>Semestral</v>
          </cell>
        </row>
        <row r="357">
          <cell r="C357">
            <v>4</v>
          </cell>
          <cell r="D357" t="str">
            <v>2-003536</v>
          </cell>
          <cell r="E357" t="str">
            <v>Monitor Multiparámetros</v>
          </cell>
          <cell r="F357" t="str">
            <v>UPC Adulto</v>
          </cell>
          <cell r="G357" t="str">
            <v>UCI Adulto</v>
          </cell>
          <cell r="H357" t="str">
            <v>CAMA 5</v>
          </cell>
          <cell r="I357" t="str">
            <v>Adquirido</v>
          </cell>
          <cell r="J357" t="str">
            <v xml:space="preserve">Drager </v>
          </cell>
          <cell r="K357" t="str">
            <v xml:space="preserve">Infinity Kappa </v>
          </cell>
          <cell r="L357">
            <v>5494254259</v>
          </cell>
          <cell r="M357">
            <v>2010</v>
          </cell>
          <cell r="N357">
            <v>-5</v>
          </cell>
          <cell r="O357" t="str">
            <v>Invasivo</v>
          </cell>
          <cell r="R357" t="str">
            <v>Semestral</v>
          </cell>
        </row>
        <row r="358">
          <cell r="C358">
            <v>5</v>
          </cell>
          <cell r="D358" t="str">
            <v>2-013560</v>
          </cell>
          <cell r="E358" t="str">
            <v>Monitor Multiparámetros</v>
          </cell>
          <cell r="F358" t="str">
            <v>UPC Adulto</v>
          </cell>
          <cell r="G358" t="str">
            <v>UCI Adulto</v>
          </cell>
          <cell r="H358" t="str">
            <v>CAMA 8</v>
          </cell>
          <cell r="I358" t="str">
            <v>Adquirido</v>
          </cell>
          <cell r="J358" t="str">
            <v xml:space="preserve">Drager </v>
          </cell>
          <cell r="K358" t="str">
            <v xml:space="preserve">Infinity Kappa </v>
          </cell>
          <cell r="L358">
            <v>5494264756</v>
          </cell>
          <cell r="M358">
            <v>2010</v>
          </cell>
          <cell r="N358">
            <v>-5</v>
          </cell>
          <cell r="O358" t="str">
            <v>Invasivo</v>
          </cell>
          <cell r="R358" t="str">
            <v>Semestral</v>
          </cell>
        </row>
        <row r="359">
          <cell r="C359">
            <v>6</v>
          </cell>
          <cell r="D359" t="str">
            <v>2-007522</v>
          </cell>
          <cell r="E359" t="str">
            <v>Monitor Multiparámetros</v>
          </cell>
          <cell r="F359" t="str">
            <v>UPC Adulto</v>
          </cell>
          <cell r="G359" t="str">
            <v>UCI Adulto</v>
          </cell>
          <cell r="H359" t="str">
            <v>CAMA 10</v>
          </cell>
          <cell r="I359" t="str">
            <v>Adquirido</v>
          </cell>
          <cell r="J359" t="str">
            <v xml:space="preserve">Drager </v>
          </cell>
          <cell r="K359" t="str">
            <v xml:space="preserve">Infinity Kappa </v>
          </cell>
          <cell r="L359">
            <v>5494268852</v>
          </cell>
          <cell r="M359">
            <v>2010</v>
          </cell>
          <cell r="N359">
            <v>-5</v>
          </cell>
          <cell r="O359" t="str">
            <v>Invasivo</v>
          </cell>
          <cell r="R359" t="str">
            <v>Semestral</v>
          </cell>
        </row>
        <row r="360">
          <cell r="C360">
            <v>7</v>
          </cell>
          <cell r="D360" t="str">
            <v>2-112538</v>
          </cell>
          <cell r="E360" t="str">
            <v>Monitor Multiparámetros</v>
          </cell>
          <cell r="F360" t="str">
            <v>UPC Adulto</v>
          </cell>
          <cell r="G360" t="str">
            <v>UCI Adulto</v>
          </cell>
          <cell r="H360" t="str">
            <v>CAMA 3</v>
          </cell>
          <cell r="I360" t="str">
            <v>Adquirido</v>
          </cell>
          <cell r="J360" t="str">
            <v xml:space="preserve">Drager </v>
          </cell>
          <cell r="K360" t="str">
            <v xml:space="preserve">Infinity Kappa </v>
          </cell>
          <cell r="L360">
            <v>5494252564</v>
          </cell>
          <cell r="M360">
            <v>2010</v>
          </cell>
          <cell r="N360">
            <v>-5</v>
          </cell>
          <cell r="O360" t="str">
            <v>Invasivo</v>
          </cell>
          <cell r="Q360" t="str">
            <v>MANTENCIÓN PREVENTIVA. EQUIPO OPERATIVO.</v>
          </cell>
          <cell r="R360" t="str">
            <v>Semestral</v>
          </cell>
        </row>
        <row r="361">
          <cell r="C361">
            <v>8</v>
          </cell>
          <cell r="D361" t="str">
            <v>2-003522</v>
          </cell>
          <cell r="E361" t="str">
            <v>Monitor Multiparámetros</v>
          </cell>
          <cell r="F361" t="str">
            <v>UPC Adulto</v>
          </cell>
          <cell r="G361" t="str">
            <v>UCI Adulto</v>
          </cell>
          <cell r="H361" t="str">
            <v>CAMA 2</v>
          </cell>
          <cell r="I361" t="str">
            <v>Adquirido</v>
          </cell>
          <cell r="J361" t="str">
            <v xml:space="preserve">Drager </v>
          </cell>
          <cell r="K361" t="str">
            <v xml:space="preserve">Infinity Kappa </v>
          </cell>
          <cell r="L361">
            <v>5494265657</v>
          </cell>
          <cell r="M361">
            <v>2010</v>
          </cell>
          <cell r="N361">
            <v>-5</v>
          </cell>
          <cell r="O361" t="str">
            <v>Invasivo</v>
          </cell>
          <cell r="Q361" t="str">
            <v>Equipo es reparado por servicio tecnico y devuelto al hospital en condiciones para su uso</v>
          </cell>
          <cell r="R361" t="str">
            <v>Semestral</v>
          </cell>
        </row>
        <row r="362">
          <cell r="C362">
            <v>9</v>
          </cell>
          <cell r="D362" t="str">
            <v>2-007511</v>
          </cell>
          <cell r="E362" t="str">
            <v>Monitor Multiparámetros</v>
          </cell>
          <cell r="F362" t="str">
            <v>UPC Adulto</v>
          </cell>
          <cell r="G362" t="str">
            <v>UCI Adulto</v>
          </cell>
          <cell r="H362" t="str">
            <v>CAMA 7</v>
          </cell>
          <cell r="I362" t="str">
            <v>Adquirido</v>
          </cell>
          <cell r="J362" t="str">
            <v xml:space="preserve">Drager </v>
          </cell>
          <cell r="K362" t="str">
            <v xml:space="preserve">Infinity Kappa </v>
          </cell>
          <cell r="L362">
            <v>5494255757</v>
          </cell>
          <cell r="M362">
            <v>2010</v>
          </cell>
          <cell r="N362">
            <v>-5</v>
          </cell>
          <cell r="O362" t="str">
            <v>Invasivo</v>
          </cell>
          <cell r="R362" t="str">
            <v>Semestral</v>
          </cell>
        </row>
        <row r="363">
          <cell r="C363">
            <v>10</v>
          </cell>
          <cell r="D363" t="str">
            <v>2-007502</v>
          </cell>
          <cell r="E363" t="str">
            <v>Monitor Multiparámetros</v>
          </cell>
          <cell r="F363" t="str">
            <v>UPC Adulto</v>
          </cell>
          <cell r="G363" t="str">
            <v>UCI Adulto</v>
          </cell>
          <cell r="H363" t="str">
            <v>CAMA 9</v>
          </cell>
          <cell r="I363" t="str">
            <v>Adquirido</v>
          </cell>
          <cell r="J363" t="str">
            <v xml:space="preserve">Drager </v>
          </cell>
          <cell r="K363" t="str">
            <v xml:space="preserve">Infinity Kappa </v>
          </cell>
          <cell r="L363">
            <v>5494255659</v>
          </cell>
          <cell r="M363">
            <v>2010</v>
          </cell>
          <cell r="N363">
            <v>-5</v>
          </cell>
          <cell r="O363" t="str">
            <v>Invasivo</v>
          </cell>
          <cell r="R363" t="str">
            <v>Semestral</v>
          </cell>
        </row>
        <row r="364">
          <cell r="C364">
            <v>11</v>
          </cell>
          <cell r="D364" t="str">
            <v>2-112539</v>
          </cell>
          <cell r="E364" t="str">
            <v>Monitor Multiparámetros</v>
          </cell>
          <cell r="F364" t="str">
            <v>UPC Adulto</v>
          </cell>
          <cell r="G364" t="str">
            <v>UCI Adulto</v>
          </cell>
          <cell r="H364" t="str">
            <v>CAMA 11</v>
          </cell>
          <cell r="I364" t="str">
            <v>Adquirido</v>
          </cell>
          <cell r="J364" t="str">
            <v xml:space="preserve">Drager </v>
          </cell>
          <cell r="K364" t="str">
            <v xml:space="preserve">Infinity Kappa </v>
          </cell>
          <cell r="L364">
            <v>5494275254</v>
          </cell>
          <cell r="M364">
            <v>2010</v>
          </cell>
          <cell r="N364">
            <v>-5</v>
          </cell>
          <cell r="O364" t="str">
            <v>Invasivo</v>
          </cell>
          <cell r="R364" t="str">
            <v>Semestral</v>
          </cell>
        </row>
        <row r="365">
          <cell r="C365">
            <v>12</v>
          </cell>
          <cell r="D365" t="str">
            <v>2-003508</v>
          </cell>
          <cell r="E365" t="str">
            <v>Monitor Multiparámetros</v>
          </cell>
          <cell r="F365" t="str">
            <v>UPC Adulto</v>
          </cell>
          <cell r="G365" t="str">
            <v>UTI Adulto</v>
          </cell>
          <cell r="H365" t="str">
            <v>CAMA 14</v>
          </cell>
          <cell r="I365" t="str">
            <v>Adquirido</v>
          </cell>
          <cell r="J365" t="str">
            <v xml:space="preserve">Drager </v>
          </cell>
          <cell r="K365" t="str">
            <v xml:space="preserve">Infinity Kappa </v>
          </cell>
          <cell r="L365">
            <v>5494264854</v>
          </cell>
          <cell r="M365">
            <v>2010</v>
          </cell>
          <cell r="N365">
            <v>-5</v>
          </cell>
          <cell r="O365" t="str">
            <v>Invasivo</v>
          </cell>
          <cell r="R365" t="str">
            <v>Semestral</v>
          </cell>
        </row>
        <row r="366">
          <cell r="C366">
            <v>13</v>
          </cell>
          <cell r="D366" t="str">
            <v>2-003445</v>
          </cell>
          <cell r="E366" t="str">
            <v>Monitor Multiparámetros</v>
          </cell>
          <cell r="F366" t="str">
            <v>Urgencia Adulto (Prestado a Pediatría)</v>
          </cell>
          <cell r="G366" t="str">
            <v>Pediatría</v>
          </cell>
          <cell r="H366" t="str">
            <v>Pediatría lactantes</v>
          </cell>
          <cell r="I366" t="str">
            <v>Adquirido</v>
          </cell>
          <cell r="J366" t="str">
            <v xml:space="preserve">Drager </v>
          </cell>
          <cell r="K366" t="str">
            <v xml:space="preserve">Infinity Vista XL </v>
          </cell>
          <cell r="L366">
            <v>6000543675</v>
          </cell>
          <cell r="M366">
            <v>2008</v>
          </cell>
          <cell r="N366">
            <v>-7</v>
          </cell>
          <cell r="O366" t="str">
            <v>Invasivo</v>
          </cell>
          <cell r="Q366" t="str">
            <v>trazabilidad. Trapaso temporal 05-03-24</v>
          </cell>
          <cell r="R366" t="str">
            <v>Semestral</v>
          </cell>
        </row>
        <row r="367">
          <cell r="C367">
            <v>14</v>
          </cell>
          <cell r="D367" t="str">
            <v>2-003446</v>
          </cell>
          <cell r="E367" t="str">
            <v>Monitor Multiparámetros</v>
          </cell>
          <cell r="F367" t="str">
            <v>UPC Cardiovascular (Prestado a medicina cardiovascular)</v>
          </cell>
          <cell r="G367" t="str">
            <v>Medicina Cardiovascular</v>
          </cell>
          <cell r="H367" t="str">
            <v>BODEGA</v>
          </cell>
          <cell r="I367" t="str">
            <v>Adquirido</v>
          </cell>
          <cell r="J367" t="str">
            <v xml:space="preserve">Drager </v>
          </cell>
          <cell r="K367" t="str">
            <v xml:space="preserve">Infinity Vista </v>
          </cell>
          <cell r="L367">
            <v>5514410774</v>
          </cell>
          <cell r="M367">
            <v>2007</v>
          </cell>
          <cell r="N367">
            <v>-8</v>
          </cell>
          <cell r="O367" t="str">
            <v>Invasivo</v>
          </cell>
          <cell r="Q367" t="str">
            <v>trazabilidad. Sin hoja de trapaso</v>
          </cell>
          <cell r="R367" t="str">
            <v>Semestral</v>
          </cell>
        </row>
        <row r="368">
          <cell r="C368">
            <v>15</v>
          </cell>
          <cell r="D368" t="str">
            <v>2-003460</v>
          </cell>
          <cell r="E368" t="str">
            <v>Monitor Multiparámetros</v>
          </cell>
          <cell r="F368" t="str">
            <v>UPC Cardiovascular</v>
          </cell>
          <cell r="G368" t="str">
            <v xml:space="preserve">UCI Cardiovascular </v>
          </cell>
          <cell r="H368" t="str">
            <v>UCI-CAMA 1</v>
          </cell>
          <cell r="I368" t="str">
            <v>Adquirido</v>
          </cell>
          <cell r="J368" t="str">
            <v xml:space="preserve">Drager </v>
          </cell>
          <cell r="K368" t="str">
            <v>Infinity Kappa</v>
          </cell>
          <cell r="L368">
            <v>5494273060</v>
          </cell>
          <cell r="M368">
            <v>2011</v>
          </cell>
          <cell r="N368">
            <v>-4</v>
          </cell>
          <cell r="O368" t="str">
            <v>Invasivo</v>
          </cell>
          <cell r="Q368" t="str">
            <v>Cambio del boton de mando 30-07-24</v>
          </cell>
          <cell r="R368" t="str">
            <v>Semestral</v>
          </cell>
        </row>
        <row r="369">
          <cell r="C369">
            <v>16</v>
          </cell>
          <cell r="D369" t="str">
            <v>2-112543</v>
          </cell>
          <cell r="E369" t="str">
            <v>Monitor Multiparámetros</v>
          </cell>
          <cell r="F369" t="str">
            <v>UPC Cardiovascular</v>
          </cell>
          <cell r="G369" t="str">
            <v xml:space="preserve">UCI Cardiovascular </v>
          </cell>
          <cell r="H369" t="str">
            <v>UCI-CAMA 2</v>
          </cell>
          <cell r="I369" t="str">
            <v>Adquirido</v>
          </cell>
          <cell r="J369" t="str">
            <v xml:space="preserve">Drager </v>
          </cell>
          <cell r="K369" t="str">
            <v>Infinity Kappa</v>
          </cell>
          <cell r="L369">
            <v>5494308255</v>
          </cell>
          <cell r="M369">
            <v>2010</v>
          </cell>
          <cell r="N369">
            <v>-5</v>
          </cell>
          <cell r="O369" t="str">
            <v>Invasivo</v>
          </cell>
          <cell r="Q369" t="str">
            <v>Cambio del boton de mando 31-07-24</v>
          </cell>
          <cell r="R369" t="str">
            <v>Semestral</v>
          </cell>
        </row>
        <row r="370">
          <cell r="C370">
            <v>17</v>
          </cell>
          <cell r="D370" t="str">
            <v>2-112544</v>
          </cell>
          <cell r="E370" t="str">
            <v>Monitor Multiparámetros</v>
          </cell>
          <cell r="F370" t="str">
            <v>UPC Cardiovascular</v>
          </cell>
          <cell r="G370" t="str">
            <v xml:space="preserve">UCI Cardiovascular </v>
          </cell>
          <cell r="H370" t="str">
            <v>UCI-CAMA 3</v>
          </cell>
          <cell r="I370" t="str">
            <v>Adquirido</v>
          </cell>
          <cell r="J370" t="str">
            <v xml:space="preserve">Drager </v>
          </cell>
          <cell r="K370" t="str">
            <v>Infinity Kappa</v>
          </cell>
          <cell r="L370">
            <v>5494307158</v>
          </cell>
          <cell r="M370">
            <v>2010</v>
          </cell>
          <cell r="N370">
            <v>-5</v>
          </cell>
          <cell r="O370" t="str">
            <v>Invasivo</v>
          </cell>
          <cell r="Q370" t="str">
            <v>Sin cambio de boton</v>
          </cell>
          <cell r="R370" t="str">
            <v>Semestral</v>
          </cell>
        </row>
        <row r="371">
          <cell r="C371">
            <v>18</v>
          </cell>
          <cell r="D371" t="str">
            <v>2-003453</v>
          </cell>
          <cell r="E371" t="str">
            <v>Monitor Multiparámetros</v>
          </cell>
          <cell r="F371" t="str">
            <v>UPC Cardiovascular</v>
          </cell>
          <cell r="G371" t="str">
            <v xml:space="preserve">UCI Cardiovascular </v>
          </cell>
          <cell r="H371" t="str">
            <v>UCI-CAMA 6</v>
          </cell>
          <cell r="I371" t="str">
            <v>Adquirido</v>
          </cell>
          <cell r="J371" t="str">
            <v xml:space="preserve">Drager </v>
          </cell>
          <cell r="K371" t="str">
            <v>Infinity Kappa</v>
          </cell>
          <cell r="L371">
            <v>5494307853</v>
          </cell>
          <cell r="M371">
            <v>2010</v>
          </cell>
          <cell r="N371">
            <v>-5</v>
          </cell>
          <cell r="O371" t="str">
            <v>Invasivo</v>
          </cell>
          <cell r="Q371" t="str">
            <v>Cambio del boton de mando 25-07-24</v>
          </cell>
          <cell r="R371" t="str">
            <v>Semestral</v>
          </cell>
        </row>
        <row r="372">
          <cell r="C372">
            <v>19</v>
          </cell>
          <cell r="D372" t="str">
            <v>2-112545</v>
          </cell>
          <cell r="E372" t="str">
            <v>Monitor Multiparámetros</v>
          </cell>
          <cell r="F372" t="str">
            <v>UPC Cardiovascular</v>
          </cell>
          <cell r="G372" t="str">
            <v xml:space="preserve">UCI Cardiovascular </v>
          </cell>
          <cell r="H372" t="str">
            <v>UCI-CAMA 4</v>
          </cell>
          <cell r="I372" t="str">
            <v>Adquirido</v>
          </cell>
          <cell r="J372" t="str">
            <v xml:space="preserve">Drager </v>
          </cell>
          <cell r="K372" t="str">
            <v>Infinity Kappa</v>
          </cell>
          <cell r="L372">
            <v>5494278447</v>
          </cell>
          <cell r="M372">
            <v>2010</v>
          </cell>
          <cell r="N372">
            <v>-5</v>
          </cell>
          <cell r="O372" t="str">
            <v>Invasivo</v>
          </cell>
          <cell r="Q372" t="str">
            <v>Equipo enviado a ST Drager 09-06-25. Conector multimed roto
Cambio del boton de mando 24-07-24</v>
          </cell>
          <cell r="R372" t="str">
            <v>Semestral</v>
          </cell>
        </row>
        <row r="373">
          <cell r="C373">
            <v>20</v>
          </cell>
          <cell r="D373" t="str">
            <v>2-112546</v>
          </cell>
          <cell r="E373" t="str">
            <v>Monitor Multiparámetros</v>
          </cell>
          <cell r="F373" t="str">
            <v>UPC Cardiovascular</v>
          </cell>
          <cell r="G373" t="str">
            <v xml:space="preserve">UCI Cardiovascular </v>
          </cell>
          <cell r="H373" t="str">
            <v>UCI-CAMA 7</v>
          </cell>
          <cell r="I373" t="str">
            <v>Adquirido</v>
          </cell>
          <cell r="J373" t="str">
            <v xml:space="preserve">Drager </v>
          </cell>
          <cell r="K373" t="str">
            <v>infinity kappa</v>
          </cell>
          <cell r="L373">
            <v>5494294652</v>
          </cell>
          <cell r="M373">
            <v>2010</v>
          </cell>
          <cell r="N373">
            <v>-5</v>
          </cell>
          <cell r="O373" t="str">
            <v>Invasivo</v>
          </cell>
          <cell r="Q373" t="str">
            <v>Cambio del boton de mando 23-07-24</v>
          </cell>
          <cell r="R373" t="str">
            <v>Semestral</v>
          </cell>
        </row>
        <row r="374">
          <cell r="C374">
            <v>21</v>
          </cell>
          <cell r="D374" t="str">
            <v>2-113483</v>
          </cell>
          <cell r="E374" t="str">
            <v>Monitor Multiparámetros</v>
          </cell>
          <cell r="F374" t="str">
            <v>UPC Cardiovascular</v>
          </cell>
          <cell r="G374" t="str">
            <v>UTI Cardiovascular</v>
          </cell>
          <cell r="H374" t="str">
            <v>UTI-CAMA 6</v>
          </cell>
          <cell r="I374" t="str">
            <v>Adquirido</v>
          </cell>
          <cell r="J374" t="str">
            <v xml:space="preserve">Drager </v>
          </cell>
          <cell r="K374" t="str">
            <v>Infinity Kappa</v>
          </cell>
          <cell r="L374">
            <v>5494306061</v>
          </cell>
          <cell r="M374">
            <v>2010</v>
          </cell>
          <cell r="N374">
            <v>-5</v>
          </cell>
          <cell r="O374" t="str">
            <v>Invasivo</v>
          </cell>
          <cell r="Q374" t="str">
            <v>Cambio del boton de mando 26-07-24</v>
          </cell>
          <cell r="R374" t="str">
            <v>Semestral</v>
          </cell>
        </row>
        <row r="375">
          <cell r="C375">
            <v>22</v>
          </cell>
          <cell r="D375" t="str">
            <v>2-013522</v>
          </cell>
          <cell r="E375" t="str">
            <v>Monitor Multiparámetros</v>
          </cell>
          <cell r="F375" t="str">
            <v>Urgencia Adulto (Prestado a UPC Adulto)</v>
          </cell>
          <cell r="G375" t="str">
            <v>Urgencia Adulto</v>
          </cell>
          <cell r="I375" t="str">
            <v>Adquirido</v>
          </cell>
          <cell r="J375" t="str">
            <v xml:space="preserve">Drager </v>
          </cell>
          <cell r="K375" t="str">
            <v xml:space="preserve">Infinity Vista XL </v>
          </cell>
          <cell r="L375" t="str">
            <v>6000883771.</v>
          </cell>
          <cell r="M375">
            <v>2009</v>
          </cell>
          <cell r="N375">
            <v>-6</v>
          </cell>
          <cell r="O375" t="str">
            <v>Invasivo</v>
          </cell>
          <cell r="Q375" t="str">
            <v>Falta el reporte interno de mantencion preventiva de noviembre y la guia de despacho</v>
          </cell>
          <cell r="R375" t="str">
            <v>Semestral</v>
          </cell>
        </row>
        <row r="376">
          <cell r="C376">
            <v>23</v>
          </cell>
          <cell r="D376" t="str">
            <v>2-003476</v>
          </cell>
          <cell r="E376" t="str">
            <v>Monitor Multiparámetros</v>
          </cell>
          <cell r="F376" t="str">
            <v>UPC Cardiovascular</v>
          </cell>
          <cell r="G376" t="str">
            <v xml:space="preserve">UTI Cardiovascular </v>
          </cell>
          <cell r="H376" t="str">
            <v>UTI-CAMA 1</v>
          </cell>
          <cell r="I376" t="str">
            <v>Adquirido</v>
          </cell>
          <cell r="J376" t="str">
            <v xml:space="preserve">Drager </v>
          </cell>
          <cell r="K376" t="str">
            <v>Infinity Kappa</v>
          </cell>
          <cell r="L376">
            <v>5494308353</v>
          </cell>
          <cell r="M376">
            <v>2010</v>
          </cell>
          <cell r="N376">
            <v>-5</v>
          </cell>
          <cell r="O376" t="str">
            <v>Invasivo</v>
          </cell>
          <cell r="Q376" t="str">
            <v>Cambio del boton de mando 26-07-24</v>
          </cell>
          <cell r="R376" t="str">
            <v>Semestral</v>
          </cell>
        </row>
        <row r="377">
          <cell r="C377">
            <v>24</v>
          </cell>
          <cell r="D377" t="str">
            <v>2-003478</v>
          </cell>
          <cell r="E377" t="str">
            <v>Monitor Multiparámetros</v>
          </cell>
          <cell r="F377" t="str">
            <v>UPC Cardiovascular</v>
          </cell>
          <cell r="G377" t="str">
            <v xml:space="preserve">UTI Cardiovascular </v>
          </cell>
          <cell r="H377" t="str">
            <v>UTI-CAMA 2</v>
          </cell>
          <cell r="I377" t="str">
            <v>Adquirido</v>
          </cell>
          <cell r="J377" t="str">
            <v xml:space="preserve">Drager </v>
          </cell>
          <cell r="K377" t="str">
            <v>Infinity Kappa</v>
          </cell>
          <cell r="L377">
            <v>5494305953</v>
          </cell>
          <cell r="M377">
            <v>2010</v>
          </cell>
          <cell r="N377">
            <v>-5</v>
          </cell>
          <cell r="O377" t="str">
            <v>Invasivo</v>
          </cell>
          <cell r="Q377" t="str">
            <v>Cambio del boton de mando 24-07-24</v>
          </cell>
          <cell r="R377" t="str">
            <v>Semestral</v>
          </cell>
        </row>
        <row r="378">
          <cell r="C378">
            <v>25</v>
          </cell>
          <cell r="D378" t="str">
            <v>2-003485</v>
          </cell>
          <cell r="E378" t="str">
            <v>Monitor Multiparámetros</v>
          </cell>
          <cell r="F378" t="str">
            <v>UPC Cardiovascular</v>
          </cell>
          <cell r="G378" t="str">
            <v xml:space="preserve">UTI Cardiovascular </v>
          </cell>
          <cell r="H378" t="str">
            <v>UTI-CAMA 3</v>
          </cell>
          <cell r="I378" t="str">
            <v>Adquirido</v>
          </cell>
          <cell r="J378" t="str">
            <v xml:space="preserve">Drager </v>
          </cell>
          <cell r="K378" t="str">
            <v>Infinity Kappa</v>
          </cell>
          <cell r="L378">
            <v>5494307951</v>
          </cell>
          <cell r="M378">
            <v>2010</v>
          </cell>
          <cell r="N378">
            <v>-5</v>
          </cell>
          <cell r="O378" t="str">
            <v>Invasivo</v>
          </cell>
          <cell r="Q378" t="str">
            <v>Cambio del boton de mando 29-07-24</v>
          </cell>
          <cell r="R378" t="str">
            <v>Semestral</v>
          </cell>
        </row>
        <row r="379">
          <cell r="C379">
            <v>26</v>
          </cell>
          <cell r="D379" t="str">
            <v>2-013495</v>
          </cell>
          <cell r="E379" t="str">
            <v>Monitor Multiparámetros</v>
          </cell>
          <cell r="F379" t="str">
            <v>UPC Cardiovascular</v>
          </cell>
          <cell r="G379" t="str">
            <v xml:space="preserve">UTI Cardiovascular </v>
          </cell>
          <cell r="H379" t="str">
            <v>UTI-CAMA 4</v>
          </cell>
          <cell r="I379" t="str">
            <v>Adquirido</v>
          </cell>
          <cell r="J379" t="str">
            <v xml:space="preserve">Drager </v>
          </cell>
          <cell r="K379" t="str">
            <v>Infinity Kappa</v>
          </cell>
          <cell r="L379">
            <v>5494306854</v>
          </cell>
          <cell r="M379">
            <v>2010</v>
          </cell>
          <cell r="N379">
            <v>-5</v>
          </cell>
          <cell r="O379" t="str">
            <v>Invasivo</v>
          </cell>
          <cell r="Q379" t="str">
            <v>Cambio del boton de mando 26-07-24</v>
          </cell>
          <cell r="R379" t="str">
            <v>Semestral</v>
          </cell>
        </row>
        <row r="380">
          <cell r="C380">
            <v>27</v>
          </cell>
          <cell r="D380" t="str">
            <v>2-003489</v>
          </cell>
          <cell r="E380" t="str">
            <v>Monitor Multiparámetros</v>
          </cell>
          <cell r="F380" t="str">
            <v>UPC Cardiovascular</v>
          </cell>
          <cell r="G380" t="str">
            <v xml:space="preserve">UTI Cardiovascular </v>
          </cell>
          <cell r="H380" t="str">
            <v>UTI-CAMA 5</v>
          </cell>
          <cell r="I380" t="str">
            <v>Adquirido</v>
          </cell>
          <cell r="J380" t="str">
            <v xml:space="preserve">Drager </v>
          </cell>
          <cell r="K380" t="str">
            <v>Infinity Kappa</v>
          </cell>
          <cell r="L380">
            <v>5494269849</v>
          </cell>
          <cell r="M380">
            <v>2010</v>
          </cell>
          <cell r="N380">
            <v>-5</v>
          </cell>
          <cell r="O380" t="str">
            <v>Invasivo</v>
          </cell>
          <cell r="Q380" t="str">
            <v>Cambio del boton de mando 24-07-24</v>
          </cell>
          <cell r="R380" t="str">
            <v>Semestral</v>
          </cell>
        </row>
        <row r="381">
          <cell r="C381">
            <v>28</v>
          </cell>
          <cell r="D381" t="str">
            <v>2-013502</v>
          </cell>
          <cell r="E381" t="str">
            <v>Monitor Multiparámetros</v>
          </cell>
          <cell r="F381" t="str">
            <v>UPC Cardiovascular</v>
          </cell>
          <cell r="G381" t="str">
            <v xml:space="preserve">UCI Cardiovascular </v>
          </cell>
          <cell r="H381" t="str">
            <v>UCI-CAMA 8</v>
          </cell>
          <cell r="I381" t="str">
            <v>Adquirido</v>
          </cell>
          <cell r="J381" t="str">
            <v xml:space="preserve">Drager </v>
          </cell>
          <cell r="K381" t="str">
            <v>Infinity Kappa</v>
          </cell>
          <cell r="L381">
            <v>5494279847</v>
          </cell>
          <cell r="M381">
            <v>2010</v>
          </cell>
          <cell r="N381">
            <v>-5</v>
          </cell>
          <cell r="O381" t="str">
            <v>Invasivo</v>
          </cell>
          <cell r="Q381" t="str">
            <v>Cambio del boton de mando 31-07-24</v>
          </cell>
          <cell r="R381" t="str">
            <v>Semestral</v>
          </cell>
        </row>
        <row r="382">
          <cell r="C382">
            <v>29</v>
          </cell>
          <cell r="D382" t="str">
            <v>2-013507</v>
          </cell>
          <cell r="E382" t="str">
            <v>Monitor Multiparámetros</v>
          </cell>
          <cell r="F382" t="str">
            <v>UPC Cardiovascular</v>
          </cell>
          <cell r="G382" t="str">
            <v xml:space="preserve">UTI Cardiovascular </v>
          </cell>
          <cell r="H382" t="str">
            <v>UTI-CAMA 8</v>
          </cell>
          <cell r="I382" t="str">
            <v>Adquirido</v>
          </cell>
          <cell r="J382" t="str">
            <v xml:space="preserve">Drager </v>
          </cell>
          <cell r="K382" t="str">
            <v>Infinity Kappa</v>
          </cell>
          <cell r="L382">
            <v>5494305855</v>
          </cell>
          <cell r="M382">
            <v>2010</v>
          </cell>
          <cell r="N382">
            <v>-5</v>
          </cell>
          <cell r="O382" t="str">
            <v>Invasivo</v>
          </cell>
          <cell r="Q382" t="str">
            <v>Cambio del boton de mando 29-07-24</v>
          </cell>
          <cell r="R382" t="str">
            <v>Semestral</v>
          </cell>
        </row>
        <row r="383">
          <cell r="C383">
            <v>30</v>
          </cell>
          <cell r="D383" t="str">
            <v>2-126872</v>
          </cell>
          <cell r="E383" t="str">
            <v>Monitor Multiparámetros</v>
          </cell>
          <cell r="F383" t="str">
            <v>Medicina Física y Rehabilitación</v>
          </cell>
          <cell r="G383" t="str">
            <v>Medicina Física y Rehabilitación</v>
          </cell>
          <cell r="I383" t="str">
            <v>Adquirido</v>
          </cell>
          <cell r="J383" t="str">
            <v>Philips</v>
          </cell>
          <cell r="K383" t="str">
            <v>CM100</v>
          </cell>
          <cell r="L383" t="str">
            <v>CN12099174</v>
          </cell>
          <cell r="M383">
            <v>2023</v>
          </cell>
          <cell r="N383">
            <v>8</v>
          </cell>
          <cell r="O383" t="str">
            <v>No Invasivo</v>
          </cell>
          <cell r="Q383" t="str">
            <v>Equipo en garantia 20-12-2023</v>
          </cell>
          <cell r="R383" t="str">
            <v>Semestral</v>
          </cell>
        </row>
        <row r="384">
          <cell r="C384">
            <v>31</v>
          </cell>
          <cell r="D384" t="str">
            <v>2-116518</v>
          </cell>
          <cell r="E384" t="str">
            <v>Monitor Multiparámetros</v>
          </cell>
          <cell r="F384" t="str">
            <v>UPC Pediátrica</v>
          </cell>
          <cell r="G384" t="str">
            <v>UCI Pediátrica</v>
          </cell>
          <cell r="H384" t="str">
            <v>UCI-Sala 2</v>
          </cell>
          <cell r="I384" t="str">
            <v>Arriendo</v>
          </cell>
          <cell r="J384" t="str">
            <v>SPACELABS HEALTHCARE</v>
          </cell>
          <cell r="K384" t="str">
            <v>XPREZZON</v>
          </cell>
          <cell r="L384" t="str">
            <v>1393-109323</v>
          </cell>
          <cell r="M384">
            <v>2018</v>
          </cell>
          <cell r="N384">
            <v>3</v>
          </cell>
          <cell r="O384" t="str">
            <v>Invasivo</v>
          </cell>
          <cell r="R384" t="str">
            <v>Semestral</v>
          </cell>
        </row>
        <row r="385">
          <cell r="C385">
            <v>32</v>
          </cell>
          <cell r="D385" t="str">
            <v>200717-011278</v>
          </cell>
          <cell r="E385" t="str">
            <v>Monitor Multiparámetros</v>
          </cell>
          <cell r="F385" t="str">
            <v>Cardiología (2do piso)</v>
          </cell>
          <cell r="G385" t="str">
            <v xml:space="preserve">Recuperación Angiógrafo </v>
          </cell>
          <cell r="H385" t="str">
            <v>Pabellon Hemodinamia 2do piso</v>
          </cell>
          <cell r="I385" t="str">
            <v>Préstamo</v>
          </cell>
          <cell r="J385" t="str">
            <v xml:space="preserve">Nihon Kohden </v>
          </cell>
          <cell r="K385" t="str">
            <v>BSM-3562</v>
          </cell>
          <cell r="L385" t="str">
            <v>33034.</v>
          </cell>
          <cell r="M385">
            <v>2025</v>
          </cell>
          <cell r="N385">
            <v>10</v>
          </cell>
          <cell r="O385" t="str">
            <v>Invasivo</v>
          </cell>
          <cell r="Q385" t="str">
            <v>Equipo en presamo desde CAPLC 27-06-2025</v>
          </cell>
          <cell r="R385" t="str">
            <v>Semestral</v>
          </cell>
        </row>
        <row r="386">
          <cell r="C386">
            <v>33</v>
          </cell>
          <cell r="D386" t="str">
            <v>2-118962</v>
          </cell>
          <cell r="E386" t="str">
            <v>Monitor Multiparámetros</v>
          </cell>
          <cell r="F386" t="str">
            <v>Pabellón Quirúrgico</v>
          </cell>
          <cell r="G386" t="str">
            <v>Pabellón Central</v>
          </cell>
          <cell r="I386" t="str">
            <v>Adquirido</v>
          </cell>
          <cell r="J386" t="str">
            <v>Mindray</v>
          </cell>
          <cell r="K386" t="str">
            <v>EPM 10</v>
          </cell>
          <cell r="L386">
            <v>96000115</v>
          </cell>
          <cell r="M386">
            <v>2020</v>
          </cell>
          <cell r="N386">
            <v>5</v>
          </cell>
          <cell r="O386" t="str">
            <v>Invasivo</v>
          </cell>
          <cell r="R386" t="str">
            <v>Semestral</v>
          </cell>
        </row>
        <row r="387">
          <cell r="C387">
            <v>34</v>
          </cell>
          <cell r="D387" t="str">
            <v>2-118666</v>
          </cell>
          <cell r="E387" t="str">
            <v>Monitor Multiparámetros</v>
          </cell>
          <cell r="F387" t="str">
            <v>Medicina Materno Fetal</v>
          </cell>
          <cell r="G387" t="str">
            <v>Medicina Materno Fetal</v>
          </cell>
          <cell r="H387" t="str">
            <v>P4-TNB</v>
          </cell>
          <cell r="I387" t="str">
            <v>Arriendo</v>
          </cell>
          <cell r="J387" t="str">
            <v>Drager</v>
          </cell>
          <cell r="K387" t="str">
            <v>Vista 120</v>
          </cell>
          <cell r="L387" t="str">
            <v>VGSLN0011</v>
          </cell>
          <cell r="M387">
            <v>2019</v>
          </cell>
          <cell r="N387">
            <v>4</v>
          </cell>
          <cell r="O387" t="str">
            <v>Invasivo</v>
          </cell>
          <cell r="R387" t="str">
            <v>Semestral</v>
          </cell>
        </row>
        <row r="388">
          <cell r="C388">
            <v>35</v>
          </cell>
          <cell r="D388" t="str">
            <v>2-118732</v>
          </cell>
          <cell r="E388" t="str">
            <v>Monitor Multiparámetros</v>
          </cell>
          <cell r="F388" t="str">
            <v>Pabellón Quirúrgico</v>
          </cell>
          <cell r="G388" t="str">
            <v>Pabellón Central</v>
          </cell>
          <cell r="H388" t="str">
            <v>Pabellón 7</v>
          </cell>
          <cell r="I388" t="str">
            <v>Adquirido</v>
          </cell>
          <cell r="J388" t="str">
            <v>Drager</v>
          </cell>
          <cell r="K388" t="str">
            <v>M540</v>
          </cell>
          <cell r="L388">
            <v>5613543568</v>
          </cell>
          <cell r="M388">
            <v>2020</v>
          </cell>
          <cell r="N388">
            <v>5</v>
          </cell>
          <cell r="O388" t="str">
            <v>Invasivo</v>
          </cell>
          <cell r="R388" t="str">
            <v>Semestral</v>
          </cell>
        </row>
        <row r="389">
          <cell r="C389">
            <v>36</v>
          </cell>
          <cell r="D389" t="str">
            <v>2-119188</v>
          </cell>
          <cell r="E389" t="str">
            <v>Monitor Multiparámetros</v>
          </cell>
          <cell r="F389" t="str">
            <v>UPC 3er Piso</v>
          </cell>
          <cell r="G389" t="str">
            <v>UPC 3er Piso</v>
          </cell>
          <cell r="H389" t="str">
            <v>Sala de equipos</v>
          </cell>
          <cell r="I389" t="str">
            <v>Adquirido</v>
          </cell>
          <cell r="J389" t="str">
            <v>General Electric</v>
          </cell>
          <cell r="K389" t="str">
            <v>B450</v>
          </cell>
          <cell r="L389" t="str">
            <v>SNT19480100HA</v>
          </cell>
          <cell r="M389">
            <v>2020</v>
          </cell>
          <cell r="N389">
            <v>5</v>
          </cell>
          <cell r="O389" t="str">
            <v>Invasivo</v>
          </cell>
          <cell r="R389" t="str">
            <v>Semestral</v>
          </cell>
        </row>
        <row r="390">
          <cell r="C390">
            <v>37</v>
          </cell>
          <cell r="D390" t="str">
            <v>2-119187</v>
          </cell>
          <cell r="E390" t="str">
            <v>Monitor Multiparámetros</v>
          </cell>
          <cell r="F390" t="str">
            <v>UPC Adulto</v>
          </cell>
          <cell r="G390" t="str">
            <v>UCI Adulto</v>
          </cell>
          <cell r="H390" t="str">
            <v>BODEGA</v>
          </cell>
          <cell r="I390" t="str">
            <v>Adquirido</v>
          </cell>
          <cell r="J390" t="str">
            <v>General Electric</v>
          </cell>
          <cell r="K390" t="str">
            <v>B450</v>
          </cell>
          <cell r="L390" t="str">
            <v>SNT19480103HA</v>
          </cell>
          <cell r="M390">
            <v>2020</v>
          </cell>
          <cell r="N390">
            <v>5</v>
          </cell>
          <cell r="O390" t="str">
            <v>Invasivo</v>
          </cell>
          <cell r="R390" t="str">
            <v>Semestral</v>
          </cell>
        </row>
        <row r="391">
          <cell r="C391">
            <v>38</v>
          </cell>
          <cell r="D391" t="str">
            <v>2-118674</v>
          </cell>
          <cell r="E391" t="str">
            <v>Monitor Multiparámetros</v>
          </cell>
          <cell r="F391" t="str">
            <v>Imagenología</v>
          </cell>
          <cell r="G391" t="str">
            <v>Imagenología Recuperación</v>
          </cell>
          <cell r="I391" t="str">
            <v>Adquirido</v>
          </cell>
          <cell r="J391" t="str">
            <v>General Electric</v>
          </cell>
          <cell r="K391" t="str">
            <v>B105</v>
          </cell>
          <cell r="L391" t="str">
            <v>SP318493998WA</v>
          </cell>
          <cell r="M391">
            <v>2020</v>
          </cell>
          <cell r="N391">
            <v>5</v>
          </cell>
          <cell r="O391" t="str">
            <v>Invasivo</v>
          </cell>
          <cell r="R391" t="str">
            <v>Semestral</v>
          </cell>
        </row>
        <row r="392">
          <cell r="C392">
            <v>39</v>
          </cell>
          <cell r="D392" t="str">
            <v>2-118671</v>
          </cell>
          <cell r="E392" t="str">
            <v>Monitor Multiparámetros</v>
          </cell>
          <cell r="F392" t="str">
            <v>Imagenología</v>
          </cell>
          <cell r="G392" t="str">
            <v>Imagenología Recuperación</v>
          </cell>
          <cell r="I392" t="str">
            <v>Adquirido</v>
          </cell>
          <cell r="J392" t="str">
            <v>General Electric</v>
          </cell>
          <cell r="K392" t="str">
            <v>B105</v>
          </cell>
          <cell r="L392" t="str">
            <v>SP318493999WA</v>
          </cell>
          <cell r="M392">
            <v>2020</v>
          </cell>
          <cell r="N392">
            <v>5</v>
          </cell>
          <cell r="O392" t="str">
            <v>Invasivo</v>
          </cell>
          <cell r="R392" t="str">
            <v>Semestral</v>
          </cell>
        </row>
        <row r="393">
          <cell r="C393">
            <v>40</v>
          </cell>
          <cell r="D393" t="str">
            <v>2-118672</v>
          </cell>
          <cell r="E393" t="str">
            <v>Monitor Multiparámetros</v>
          </cell>
          <cell r="F393" t="str">
            <v>Imagenología</v>
          </cell>
          <cell r="G393" t="str">
            <v>Imagenología Recuperación</v>
          </cell>
          <cell r="I393" t="str">
            <v>Adquirido</v>
          </cell>
          <cell r="J393" t="str">
            <v>General Electric</v>
          </cell>
          <cell r="K393" t="str">
            <v>B105</v>
          </cell>
          <cell r="L393" t="str">
            <v>SP318494009WA</v>
          </cell>
          <cell r="M393">
            <v>2020</v>
          </cell>
          <cell r="N393">
            <v>5</v>
          </cell>
          <cell r="O393" t="str">
            <v>Invasivo</v>
          </cell>
          <cell r="R393" t="str">
            <v>Semestral</v>
          </cell>
        </row>
        <row r="394">
          <cell r="C394">
            <v>41</v>
          </cell>
          <cell r="D394" t="str">
            <v>2-118673</v>
          </cell>
          <cell r="E394" t="str">
            <v>Monitor Multiparámetros</v>
          </cell>
          <cell r="F394" t="str">
            <v>Imagenología</v>
          </cell>
          <cell r="G394" t="str">
            <v>Imagenología Recuperación</v>
          </cell>
          <cell r="I394" t="str">
            <v>Adquirido</v>
          </cell>
          <cell r="J394" t="str">
            <v>General Electric</v>
          </cell>
          <cell r="K394" t="str">
            <v>B105</v>
          </cell>
          <cell r="L394" t="str">
            <v>SP318494018WA</v>
          </cell>
          <cell r="M394">
            <v>2020</v>
          </cell>
          <cell r="N394">
            <v>5</v>
          </cell>
          <cell r="O394" t="str">
            <v>Invasivo</v>
          </cell>
          <cell r="R394" t="str">
            <v>Semestral</v>
          </cell>
        </row>
        <row r="395">
          <cell r="C395">
            <v>42</v>
          </cell>
          <cell r="D395" t="str">
            <v>2-023555</v>
          </cell>
          <cell r="E395" t="str">
            <v>Monitor Multiparámetros</v>
          </cell>
          <cell r="F395" t="str">
            <v>Urgencia Adulto</v>
          </cell>
          <cell r="G395" t="str">
            <v>Urgencia Adulto</v>
          </cell>
          <cell r="H395" t="str">
            <v>SAR 3</v>
          </cell>
          <cell r="I395" t="str">
            <v>Adquirido</v>
          </cell>
          <cell r="J395" t="str">
            <v xml:space="preserve">Nihon Kohden </v>
          </cell>
          <cell r="K395" t="str">
            <v>PVM-2701K</v>
          </cell>
          <cell r="L395" t="str">
            <v>0100645</v>
          </cell>
          <cell r="M395">
            <v>2011</v>
          </cell>
          <cell r="N395">
            <v>-4</v>
          </cell>
          <cell r="O395" t="str">
            <v>No Invasivo</v>
          </cell>
          <cell r="Q395" t="str">
            <v>equipo operativo</v>
          </cell>
          <cell r="R395" t="str">
            <v>Semestral</v>
          </cell>
        </row>
        <row r="396">
          <cell r="C396">
            <v>43</v>
          </cell>
          <cell r="D396" t="str">
            <v>2-023573</v>
          </cell>
          <cell r="E396" t="str">
            <v>Monitor Multiparámetros</v>
          </cell>
          <cell r="F396" t="str">
            <v>Urgencia Infantil</v>
          </cell>
          <cell r="G396" t="str">
            <v>Urgencia Infantil</v>
          </cell>
          <cell r="H396" t="str">
            <v>Bodega Equipos SUI</v>
          </cell>
          <cell r="I396" t="str">
            <v>Adquirido</v>
          </cell>
          <cell r="J396" t="str">
            <v xml:space="preserve">Nihon Kohden </v>
          </cell>
          <cell r="K396" t="str">
            <v>PVM-2701K</v>
          </cell>
          <cell r="L396" t="str">
            <v>0100638.</v>
          </cell>
          <cell r="M396">
            <v>2011</v>
          </cell>
          <cell r="N396">
            <v>-4</v>
          </cell>
          <cell r="O396" t="str">
            <v>No Invasivo</v>
          </cell>
          <cell r="R396" t="str">
            <v>Semestral</v>
          </cell>
        </row>
        <row r="397">
          <cell r="C397">
            <v>44</v>
          </cell>
          <cell r="D397" t="str">
            <v>2-112503</v>
          </cell>
          <cell r="E397" t="str">
            <v>Monitor Multiparámetros</v>
          </cell>
          <cell r="F397" t="str">
            <v>Urgencia Adulto</v>
          </cell>
          <cell r="G397" t="str">
            <v>Urgencia Adulto</v>
          </cell>
          <cell r="H397" t="str">
            <v>Box baja complejidad SUI</v>
          </cell>
          <cell r="I397" t="str">
            <v>Adquirido</v>
          </cell>
          <cell r="J397" t="str">
            <v xml:space="preserve">Nihon Kohden </v>
          </cell>
          <cell r="K397" t="str">
            <v>PVM-2701K</v>
          </cell>
          <cell r="L397" t="str">
            <v>0100643</v>
          </cell>
          <cell r="M397">
            <v>2011</v>
          </cell>
          <cell r="N397">
            <v>-4</v>
          </cell>
          <cell r="O397" t="str">
            <v>No Invasivo</v>
          </cell>
          <cell r="Q397" t="str">
            <v>Equipo con falla de bateria interna. Equipo fuera de servicio ST</v>
          </cell>
          <cell r="R397" t="str">
            <v>Semestral</v>
          </cell>
        </row>
        <row r="398">
          <cell r="C398">
            <v>45</v>
          </cell>
          <cell r="D398" t="str">
            <v>2-112504</v>
          </cell>
          <cell r="E398" t="str">
            <v>Monitor Multiparámetros</v>
          </cell>
          <cell r="F398" t="str">
            <v>Urgencia Infantil</v>
          </cell>
          <cell r="G398" t="str">
            <v>Urgencia Infantil</v>
          </cell>
          <cell r="H398" t="str">
            <v>Bodega Equipos SUI</v>
          </cell>
          <cell r="I398" t="str">
            <v>Adquirido</v>
          </cell>
          <cell r="J398" t="str">
            <v xml:space="preserve">Nihon Kohden </v>
          </cell>
          <cell r="K398" t="str">
            <v>PVM-2701K</v>
          </cell>
          <cell r="L398" t="str">
            <v>0100647.</v>
          </cell>
          <cell r="M398">
            <v>2011</v>
          </cell>
          <cell r="N398">
            <v>-4</v>
          </cell>
          <cell r="O398" t="str">
            <v>No Invasivo</v>
          </cell>
          <cell r="R398" t="str">
            <v>Semestral</v>
          </cell>
        </row>
        <row r="399">
          <cell r="C399">
            <v>46</v>
          </cell>
          <cell r="D399" t="str">
            <v>2-133048</v>
          </cell>
          <cell r="E399" t="str">
            <v>Monitor Multiparámetros</v>
          </cell>
          <cell r="F399" t="str">
            <v>Pediatría</v>
          </cell>
          <cell r="G399" t="str">
            <v>Pediatría Oncológica</v>
          </cell>
          <cell r="H399" t="str">
            <v>EPC-P6</v>
          </cell>
          <cell r="I399" t="str">
            <v>Adquirido</v>
          </cell>
          <cell r="J399" t="str">
            <v>Mindray</v>
          </cell>
          <cell r="K399" t="str">
            <v>EPM 15 Compact</v>
          </cell>
          <cell r="L399" t="str">
            <v>AC5-43007991</v>
          </cell>
          <cell r="M399">
            <v>2024</v>
          </cell>
          <cell r="N399">
            <v>9</v>
          </cell>
          <cell r="O399" t="str">
            <v>No Invasivo</v>
          </cell>
          <cell r="Q399" t="str">
            <v>Garant√≠a de 25 meses a partir del 07-08-2024. 2 MP anuales.</v>
          </cell>
          <cell r="R399" t="str">
            <v>Semestral</v>
          </cell>
        </row>
        <row r="400">
          <cell r="C400">
            <v>47</v>
          </cell>
          <cell r="D400" t="str">
            <v>2-112505</v>
          </cell>
          <cell r="E400" t="str">
            <v>Monitor Multiparámetros</v>
          </cell>
          <cell r="F400" t="str">
            <v>Urgencia Adulto</v>
          </cell>
          <cell r="G400" t="str">
            <v>Urgencia Adulto</v>
          </cell>
          <cell r="H400" t="str">
            <v>Box B-4</v>
          </cell>
          <cell r="I400" t="str">
            <v>Adquirido</v>
          </cell>
          <cell r="J400" t="str">
            <v xml:space="preserve">Nihon Kohden </v>
          </cell>
          <cell r="K400" t="str">
            <v>PVM-2701K</v>
          </cell>
          <cell r="L400" t="str">
            <v>0100653</v>
          </cell>
          <cell r="M400">
            <v>2011</v>
          </cell>
          <cell r="N400">
            <v>-4</v>
          </cell>
          <cell r="O400" t="str">
            <v>No Invasivo</v>
          </cell>
          <cell r="R400" t="str">
            <v>Semestral</v>
          </cell>
        </row>
        <row r="401">
          <cell r="C401">
            <v>48</v>
          </cell>
          <cell r="D401" t="str">
            <v>2-023589</v>
          </cell>
          <cell r="E401" t="str">
            <v>Monitor Multiparámetros</v>
          </cell>
          <cell r="F401" t="str">
            <v>Urgencia Infantil</v>
          </cell>
          <cell r="G401" t="str">
            <v>Urgencia Infantil</v>
          </cell>
          <cell r="I401" t="str">
            <v>Adquirido</v>
          </cell>
          <cell r="J401" t="str">
            <v xml:space="preserve">Nihon Kohden </v>
          </cell>
          <cell r="K401" t="str">
            <v>PVM-2701K</v>
          </cell>
          <cell r="L401" t="str">
            <v>0100659.</v>
          </cell>
          <cell r="M401">
            <v>2011</v>
          </cell>
          <cell r="N401">
            <v>-4</v>
          </cell>
          <cell r="O401" t="str">
            <v>No Invasivo</v>
          </cell>
          <cell r="R401" t="str">
            <v>Semestral</v>
          </cell>
        </row>
        <row r="402">
          <cell r="C402">
            <v>49</v>
          </cell>
          <cell r="D402" t="str">
            <v>2-112506</v>
          </cell>
          <cell r="E402" t="str">
            <v>Monitor Multiparámetros</v>
          </cell>
          <cell r="F402" t="str">
            <v>Urgencia Adulto</v>
          </cell>
          <cell r="G402" t="str">
            <v>Urgencia Adulto</v>
          </cell>
          <cell r="H402" t="str">
            <v>Box 2 SAR</v>
          </cell>
          <cell r="I402" t="str">
            <v>Adquirido</v>
          </cell>
          <cell r="J402" t="str">
            <v xml:space="preserve">Nihon Kohden </v>
          </cell>
          <cell r="K402" t="str">
            <v>PVM-2701K</v>
          </cell>
          <cell r="L402" t="str">
            <v>0100641</v>
          </cell>
          <cell r="M402">
            <v>2011</v>
          </cell>
          <cell r="N402">
            <v>-4</v>
          </cell>
          <cell r="O402" t="str">
            <v>No Invasivo</v>
          </cell>
          <cell r="R402" t="str">
            <v>Semestral</v>
          </cell>
        </row>
        <row r="403">
          <cell r="C403">
            <v>50</v>
          </cell>
          <cell r="D403" t="str">
            <v>2-112507</v>
          </cell>
          <cell r="E403" t="str">
            <v>Monitor Multiparámetros</v>
          </cell>
          <cell r="F403" t="str">
            <v>Urgencia Adulto</v>
          </cell>
          <cell r="G403" t="str">
            <v>Urgencia Adulto</v>
          </cell>
          <cell r="H403" t="str">
            <v>Box A-4</v>
          </cell>
          <cell r="I403" t="str">
            <v>Adquirido</v>
          </cell>
          <cell r="J403" t="str">
            <v xml:space="preserve">Nihon Kohden </v>
          </cell>
          <cell r="K403" t="str">
            <v>PVM-2701K</v>
          </cell>
          <cell r="L403" t="str">
            <v>0100658</v>
          </cell>
          <cell r="M403">
            <v>2011</v>
          </cell>
          <cell r="N403">
            <v>-4</v>
          </cell>
          <cell r="O403" t="str">
            <v>No Invasivo</v>
          </cell>
          <cell r="Q403" t="str">
            <v>Equipo enviado a ST el 08/09/2025 #191</v>
          </cell>
          <cell r="R403" t="str">
            <v>Semestral</v>
          </cell>
        </row>
        <row r="404">
          <cell r="C404">
            <v>51</v>
          </cell>
          <cell r="D404" t="str">
            <v>2-116519</v>
          </cell>
          <cell r="E404" t="str">
            <v>Monitor Multiparámetros</v>
          </cell>
          <cell r="F404" t="str">
            <v>UPC Pediátrica</v>
          </cell>
          <cell r="G404" t="str">
            <v>UCI Pediátrica</v>
          </cell>
          <cell r="H404" t="str">
            <v>UCI-Sala 3</v>
          </cell>
          <cell r="I404" t="str">
            <v>Arriendo</v>
          </cell>
          <cell r="J404" t="str">
            <v>SPACELABS HEALTHCARE</v>
          </cell>
          <cell r="K404" t="str">
            <v>XPREZZON</v>
          </cell>
          <cell r="L404" t="str">
            <v>1393-109303</v>
          </cell>
          <cell r="M404">
            <v>2018</v>
          </cell>
          <cell r="N404">
            <v>3</v>
          </cell>
          <cell r="O404" t="str">
            <v>Invasivo</v>
          </cell>
          <cell r="R404" t="str">
            <v>Semestral</v>
          </cell>
        </row>
        <row r="405">
          <cell r="C405">
            <v>52</v>
          </cell>
          <cell r="D405" t="str">
            <v>2-022471</v>
          </cell>
          <cell r="E405" t="str">
            <v>Monitor Multiparámetros</v>
          </cell>
          <cell r="F405" t="str">
            <v>Urgencia Adulto</v>
          </cell>
          <cell r="G405" t="str">
            <v>Urgencia Adulto</v>
          </cell>
          <cell r="H405" t="str">
            <v>Sala de equipos</v>
          </cell>
          <cell r="I405" t="str">
            <v>Adquirido</v>
          </cell>
          <cell r="J405" t="str">
            <v xml:space="preserve">Nihon Kohden </v>
          </cell>
          <cell r="K405" t="str">
            <v>PVM-2701K</v>
          </cell>
          <cell r="L405" t="str">
            <v>0100650</v>
          </cell>
          <cell r="M405">
            <v>2011</v>
          </cell>
          <cell r="N405">
            <v>-4</v>
          </cell>
          <cell r="O405" t="str">
            <v>No Invasivo</v>
          </cell>
          <cell r="R405" t="str">
            <v>Semestral</v>
          </cell>
        </row>
        <row r="406">
          <cell r="C406">
            <v>53</v>
          </cell>
          <cell r="D406" t="str">
            <v>2-116520</v>
          </cell>
          <cell r="E406" t="str">
            <v>Monitor Multiparámetros</v>
          </cell>
          <cell r="F406" t="str">
            <v>UPC Pediátrica</v>
          </cell>
          <cell r="G406" t="str">
            <v>UCI Pediátrica</v>
          </cell>
          <cell r="H406" t="str">
            <v>UCI-Sala 4</v>
          </cell>
          <cell r="I406" t="str">
            <v>Arriendo</v>
          </cell>
          <cell r="J406" t="str">
            <v>SPACELABS HEALTHCARE</v>
          </cell>
          <cell r="K406" t="str">
            <v>XPREZZON</v>
          </cell>
          <cell r="L406" t="str">
            <v>1393-109313</v>
          </cell>
          <cell r="M406">
            <v>2018</v>
          </cell>
          <cell r="N406">
            <v>3</v>
          </cell>
          <cell r="O406" t="str">
            <v>Invasivo</v>
          </cell>
          <cell r="R406" t="str">
            <v>Semestral</v>
          </cell>
        </row>
        <row r="407">
          <cell r="C407">
            <v>54</v>
          </cell>
          <cell r="D407" t="str">
            <v>2-113493</v>
          </cell>
          <cell r="E407" t="str">
            <v>Monitor Multiparámetros</v>
          </cell>
          <cell r="F407" t="str">
            <v>Pediatría</v>
          </cell>
          <cell r="G407" t="str">
            <v>Pediatría Oncológica</v>
          </cell>
          <cell r="H407" t="str">
            <v>EPC-P6</v>
          </cell>
          <cell r="I407" t="str">
            <v>Adquirido</v>
          </cell>
          <cell r="J407" t="str">
            <v xml:space="preserve">Nihon Kohden </v>
          </cell>
          <cell r="K407" t="str">
            <v>PVM-2701K</v>
          </cell>
          <cell r="L407" t="str">
            <v>0100652</v>
          </cell>
          <cell r="M407">
            <v>2011</v>
          </cell>
          <cell r="N407">
            <v>-4</v>
          </cell>
          <cell r="O407" t="str">
            <v>No Invasivo</v>
          </cell>
          <cell r="R407" t="str">
            <v>Semestral</v>
          </cell>
        </row>
        <row r="408">
          <cell r="C408">
            <v>55</v>
          </cell>
          <cell r="D408" t="str">
            <v>2-009315</v>
          </cell>
          <cell r="E408" t="str">
            <v>Monitor Multiparámetros</v>
          </cell>
          <cell r="F408" t="str">
            <v>Imagenología</v>
          </cell>
          <cell r="G408" t="str">
            <v>Imagenología</v>
          </cell>
          <cell r="H408" t="str">
            <v>Bodega Angiógrafo</v>
          </cell>
          <cell r="I408" t="str">
            <v>Adquirido</v>
          </cell>
          <cell r="J408" t="str">
            <v>Creative Medical</v>
          </cell>
          <cell r="K408" t="str">
            <v>UP-7000</v>
          </cell>
          <cell r="L408" t="str">
            <v>J3300KB00015</v>
          </cell>
          <cell r="M408">
            <v>2020</v>
          </cell>
          <cell r="N408">
            <v>5</v>
          </cell>
          <cell r="O408" t="str">
            <v>No Invasivo</v>
          </cell>
          <cell r="R408" t="str">
            <v>Semestral</v>
          </cell>
        </row>
        <row r="409">
          <cell r="C409">
            <v>56</v>
          </cell>
          <cell r="D409" t="str">
            <v>2-118799</v>
          </cell>
          <cell r="E409" t="str">
            <v>Monitor Multiparámetros</v>
          </cell>
          <cell r="F409" t="str">
            <v>Pabellón Quirúrgico</v>
          </cell>
          <cell r="G409" t="str">
            <v>Pabellón Central</v>
          </cell>
          <cell r="H409" t="str">
            <v>Pabellón 9</v>
          </cell>
          <cell r="I409" t="str">
            <v>Adquirido</v>
          </cell>
          <cell r="J409" t="str">
            <v>Drager</v>
          </cell>
          <cell r="K409" t="str">
            <v>M540</v>
          </cell>
          <cell r="L409" t="str">
            <v>5613541766</v>
          </cell>
          <cell r="M409">
            <v>2019</v>
          </cell>
          <cell r="N409">
            <v>4</v>
          </cell>
          <cell r="O409" t="str">
            <v>Invasivo</v>
          </cell>
          <cell r="R409" t="str">
            <v>Semestral</v>
          </cell>
        </row>
        <row r="410">
          <cell r="C410">
            <v>57</v>
          </cell>
          <cell r="D410" t="str">
            <v>2-116521</v>
          </cell>
          <cell r="E410" t="str">
            <v>Monitor Multiparámetros</v>
          </cell>
          <cell r="F410" t="str">
            <v>UPC Pediátrica</v>
          </cell>
          <cell r="G410" t="str">
            <v>UCI Pediátrica</v>
          </cell>
          <cell r="H410" t="str">
            <v>UCI-Sala 5</v>
          </cell>
          <cell r="I410" t="str">
            <v>Arriendo</v>
          </cell>
          <cell r="J410" t="str">
            <v>SPACELABS HEALTHCARE</v>
          </cell>
          <cell r="K410" t="str">
            <v>XPREZZON</v>
          </cell>
          <cell r="L410" t="str">
            <v>1393-109324</v>
          </cell>
          <cell r="M410">
            <v>2018</v>
          </cell>
          <cell r="N410">
            <v>3</v>
          </cell>
          <cell r="O410" t="str">
            <v>Invasivo</v>
          </cell>
          <cell r="R410" t="str">
            <v>Semestral</v>
          </cell>
        </row>
        <row r="411">
          <cell r="C411">
            <v>58</v>
          </cell>
          <cell r="D411" t="str">
            <v>2-023237</v>
          </cell>
          <cell r="E411" t="str">
            <v>Monitor Multiparámetros</v>
          </cell>
          <cell r="F411" t="str">
            <v>Pediatría</v>
          </cell>
          <cell r="G411" t="str">
            <v>Pediatría Segunda Infancia</v>
          </cell>
          <cell r="H411" t="str">
            <v>Sala de equipos</v>
          </cell>
          <cell r="I411" t="str">
            <v>Adquirido</v>
          </cell>
          <cell r="J411" t="str">
            <v xml:space="preserve">General Electric </v>
          </cell>
          <cell r="K411" t="str">
            <v>Dash 3000</v>
          </cell>
          <cell r="L411" t="str">
            <v>J2DJ9019G</v>
          </cell>
          <cell r="M411">
            <v>2001</v>
          </cell>
          <cell r="N411">
            <v>-14</v>
          </cell>
          <cell r="O411" t="str">
            <v>Invasivo</v>
          </cell>
          <cell r="Q411" t="str">
            <v>Equipo es dado de baja 16-01-25. Equipo con bater√≠as malas, se encuentra discontinuado y con su vida util cumplida</v>
          </cell>
          <cell r="R411" t="str">
            <v>Semestral</v>
          </cell>
        </row>
        <row r="412">
          <cell r="C412">
            <v>59</v>
          </cell>
          <cell r="D412" t="str">
            <v>2-013601</v>
          </cell>
          <cell r="E412" t="str">
            <v>Monitor Multiparámetros</v>
          </cell>
          <cell r="F412" t="str">
            <v>Imagenología</v>
          </cell>
          <cell r="G412" t="str">
            <v xml:space="preserve">Imagenología Angiógrafo </v>
          </cell>
          <cell r="H412" t="str">
            <v>Recuperación</v>
          </cell>
          <cell r="I412" t="str">
            <v>Adquirido</v>
          </cell>
          <cell r="J412" t="str">
            <v xml:space="preserve">Drager </v>
          </cell>
          <cell r="K412" t="str">
            <v>Infinity Vista</v>
          </cell>
          <cell r="L412" t="str">
            <v>5514423368</v>
          </cell>
          <cell r="M412">
            <v>2010</v>
          </cell>
          <cell r="N412">
            <v>-5</v>
          </cell>
          <cell r="O412" t="str">
            <v>Invasivo</v>
          </cell>
          <cell r="R412" t="str">
            <v>Semestral</v>
          </cell>
        </row>
        <row r="413">
          <cell r="C413">
            <v>60</v>
          </cell>
          <cell r="D413" t="str">
            <v>2-023255</v>
          </cell>
          <cell r="E413" t="str">
            <v>Monitor Multiparámetros</v>
          </cell>
          <cell r="F413" t="str">
            <v>Pediatría</v>
          </cell>
          <cell r="G413" t="str">
            <v>Pediatría Oncol√≥gica</v>
          </cell>
          <cell r="H413" t="str">
            <v>EPC-P6</v>
          </cell>
          <cell r="I413" t="str">
            <v>adquirido</v>
          </cell>
          <cell r="J413" t="str">
            <v xml:space="preserve">Nihon Kohden </v>
          </cell>
          <cell r="K413" t="str">
            <v>BSM-6301K</v>
          </cell>
          <cell r="L413" t="str">
            <v>01060</v>
          </cell>
          <cell r="M413">
            <v>2011</v>
          </cell>
          <cell r="N413">
            <v>-4</v>
          </cell>
          <cell r="O413" t="str">
            <v>Invasivo</v>
          </cell>
          <cell r="R413" t="str">
            <v>Semestral</v>
          </cell>
        </row>
        <row r="414">
          <cell r="C414">
            <v>61</v>
          </cell>
          <cell r="D414" t="str">
            <v>2-112497</v>
          </cell>
          <cell r="E414" t="str">
            <v>Monitor Multiparámetros</v>
          </cell>
          <cell r="F414" t="str">
            <v>Pediatría</v>
          </cell>
          <cell r="G414" t="str">
            <v>Pediatría Segunda Infancia</v>
          </cell>
          <cell r="H414" t="str">
            <v>Segunda infancia</v>
          </cell>
          <cell r="I414" t="str">
            <v>Adquirido</v>
          </cell>
          <cell r="J414" t="str">
            <v xml:space="preserve">Nihon Kohden </v>
          </cell>
          <cell r="K414" t="str">
            <v>PVM-2701K</v>
          </cell>
          <cell r="L414" t="str">
            <v>0100648</v>
          </cell>
          <cell r="M414">
            <v>2011</v>
          </cell>
          <cell r="N414">
            <v>-4</v>
          </cell>
          <cell r="O414" t="str">
            <v>No Invasivo</v>
          </cell>
          <cell r="R414" t="str">
            <v>Semestral</v>
          </cell>
        </row>
        <row r="415">
          <cell r="C415">
            <v>62</v>
          </cell>
          <cell r="D415" t="str">
            <v>2-116522</v>
          </cell>
          <cell r="E415" t="str">
            <v>Monitor Multiparámetros</v>
          </cell>
          <cell r="F415" t="str">
            <v>UPC Pediátrica</v>
          </cell>
          <cell r="G415" t="str">
            <v>UCI Pediátrica</v>
          </cell>
          <cell r="H415" t="str">
            <v>UCI-Sala 6</v>
          </cell>
          <cell r="I415" t="str">
            <v>Arriendo</v>
          </cell>
          <cell r="J415" t="str">
            <v>SPACELABS HEALTHCARE</v>
          </cell>
          <cell r="K415" t="str">
            <v>XPREZZON</v>
          </cell>
          <cell r="L415" t="str">
            <v>1393-109302</v>
          </cell>
          <cell r="M415">
            <v>2018</v>
          </cell>
          <cell r="N415">
            <v>3</v>
          </cell>
          <cell r="O415" t="str">
            <v>Invasivo</v>
          </cell>
          <cell r="R415" t="str">
            <v>Semestral</v>
          </cell>
        </row>
        <row r="416">
          <cell r="C416">
            <v>63</v>
          </cell>
          <cell r="D416" t="str">
            <v>2-112655</v>
          </cell>
          <cell r="E416" t="str">
            <v>Monitor Multiparámetros</v>
          </cell>
          <cell r="F416" t="str">
            <v>Pediatría</v>
          </cell>
          <cell r="G416" t="str">
            <v>Pediatría Segunda Infancia</v>
          </cell>
          <cell r="H416" t="str">
            <v>Sala de equipos</v>
          </cell>
          <cell r="I416" t="str">
            <v>Adquirido</v>
          </cell>
          <cell r="J416" t="str">
            <v xml:space="preserve">Nihon Kohden </v>
          </cell>
          <cell r="K416" t="str">
            <v>PVM-2701K</v>
          </cell>
          <cell r="L416" t="str">
            <v>0100655</v>
          </cell>
          <cell r="M416">
            <v>2011</v>
          </cell>
          <cell r="N416">
            <v>-4</v>
          </cell>
          <cell r="O416" t="str">
            <v>No Invasivo</v>
          </cell>
          <cell r="R416" t="str">
            <v>Semestral</v>
          </cell>
        </row>
        <row r="417">
          <cell r="C417">
            <v>64</v>
          </cell>
          <cell r="D417" t="str">
            <v>2-120577</v>
          </cell>
          <cell r="E417" t="str">
            <v>Monitor Multiparámetros</v>
          </cell>
          <cell r="F417" t="str">
            <v>UPC 3er Piso</v>
          </cell>
          <cell r="G417" t="str">
            <v>UTI 3er Piso</v>
          </cell>
          <cell r="H417" t="str">
            <v>UTI 1</v>
          </cell>
          <cell r="I417" t="str">
            <v>Adquirido</v>
          </cell>
          <cell r="J417" t="str">
            <v>SPACELABS HEALTHCARE</v>
          </cell>
          <cell r="K417" t="str">
            <v>XPREZZON</v>
          </cell>
          <cell r="L417" t="str">
            <v>1393-114594</v>
          </cell>
          <cell r="M417">
            <v>2020</v>
          </cell>
          <cell r="N417">
            <v>5</v>
          </cell>
          <cell r="O417" t="str">
            <v>Invasivo</v>
          </cell>
          <cell r="R417" t="str">
            <v>Semestral</v>
          </cell>
        </row>
        <row r="418">
          <cell r="C418">
            <v>65</v>
          </cell>
          <cell r="D418" t="str">
            <v>2-121185</v>
          </cell>
          <cell r="E418" t="str">
            <v>Monitor Multiparámetros</v>
          </cell>
          <cell r="F418" t="str">
            <v>Medicina</v>
          </cell>
          <cell r="G418" t="str">
            <v>Medicina interna - 5to piso</v>
          </cell>
          <cell r="H418" t="str">
            <v>502-2</v>
          </cell>
          <cell r="I418" t="str">
            <v>Préstamo MINSAL</v>
          </cell>
          <cell r="J418" t="str">
            <v xml:space="preserve">Nihon Kohden </v>
          </cell>
          <cell r="K418" t="str">
            <v>BSM-3562K</v>
          </cell>
          <cell r="L418" t="str">
            <v>29676</v>
          </cell>
          <cell r="M418">
            <v>2021</v>
          </cell>
          <cell r="N418">
            <v>6</v>
          </cell>
          <cell r="O418" t="str">
            <v>Invasivo</v>
          </cell>
          <cell r="R418" t="str">
            <v>Semestral</v>
          </cell>
        </row>
        <row r="419">
          <cell r="C419">
            <v>66</v>
          </cell>
          <cell r="D419" t="str">
            <v>2-121186</v>
          </cell>
          <cell r="E419" t="str">
            <v>Monitor Multiparámetros</v>
          </cell>
          <cell r="F419" t="str">
            <v>Medicina</v>
          </cell>
          <cell r="G419" t="str">
            <v>Medicina interna - 5to piso</v>
          </cell>
          <cell r="H419" t="str">
            <v>501-1</v>
          </cell>
          <cell r="I419" t="str">
            <v>Préstamo MINSAL</v>
          </cell>
          <cell r="J419" t="str">
            <v xml:space="preserve">Nihon Kohden </v>
          </cell>
          <cell r="K419" t="str">
            <v>BSM-3562K</v>
          </cell>
          <cell r="L419" t="str">
            <v>29695</v>
          </cell>
          <cell r="M419">
            <v>2021</v>
          </cell>
          <cell r="N419">
            <v>6</v>
          </cell>
          <cell r="O419" t="str">
            <v>Invasivo</v>
          </cell>
          <cell r="R419" t="str">
            <v>Semestral</v>
          </cell>
        </row>
        <row r="420">
          <cell r="C420">
            <v>67</v>
          </cell>
          <cell r="D420" t="str">
            <v>2-116523</v>
          </cell>
          <cell r="E420" t="str">
            <v>Monitor Multiparámetros</v>
          </cell>
          <cell r="F420" t="str">
            <v>UPC Pediátrica</v>
          </cell>
          <cell r="G420" t="str">
            <v>UCI Pediátrica</v>
          </cell>
          <cell r="H420" t="str">
            <v>UCI-Sala 7</v>
          </cell>
          <cell r="I420" t="str">
            <v>Arriendo</v>
          </cell>
          <cell r="J420" t="str">
            <v>SPACELABS HEALTHCARE</v>
          </cell>
          <cell r="K420" t="str">
            <v>XPREZZON</v>
          </cell>
          <cell r="L420" t="str">
            <v>1393-109321</v>
          </cell>
          <cell r="M420">
            <v>2018</v>
          </cell>
          <cell r="N420">
            <v>3</v>
          </cell>
          <cell r="O420" t="str">
            <v>Invasivo</v>
          </cell>
          <cell r="R420" t="str">
            <v>Semestral</v>
          </cell>
        </row>
        <row r="421">
          <cell r="C421">
            <v>68</v>
          </cell>
          <cell r="D421" t="str">
            <v>2-023258</v>
          </cell>
          <cell r="E421" t="str">
            <v>Monitor Multiparámetros</v>
          </cell>
          <cell r="F421" t="str">
            <v>Pediatría</v>
          </cell>
          <cell r="G421" t="str">
            <v>Pediatría Lactantes</v>
          </cell>
          <cell r="I421" t="str">
            <v>Adquirido</v>
          </cell>
          <cell r="J421" t="str">
            <v xml:space="preserve">Nihon Kohden </v>
          </cell>
          <cell r="K421" t="str">
            <v>PVM-2701K</v>
          </cell>
          <cell r="L421" t="str">
            <v>0100654</v>
          </cell>
          <cell r="M421">
            <v>2011</v>
          </cell>
          <cell r="N421">
            <v>-4</v>
          </cell>
          <cell r="O421" t="str">
            <v>No Invasivo</v>
          </cell>
          <cell r="R421" t="str">
            <v>Semestral</v>
          </cell>
        </row>
        <row r="422">
          <cell r="C422">
            <v>69</v>
          </cell>
          <cell r="D422" t="str">
            <v>2-112498</v>
          </cell>
          <cell r="E422" t="str">
            <v>Monitor Multiparámetros</v>
          </cell>
          <cell r="F422" t="str">
            <v>Pediatría</v>
          </cell>
          <cell r="G422" t="str">
            <v>Pediatría Lactantes</v>
          </cell>
          <cell r="H422" t="str">
            <v>Sala de equipos</v>
          </cell>
          <cell r="I422" t="str">
            <v>Adquirido</v>
          </cell>
          <cell r="J422" t="str">
            <v xml:space="preserve">Nihon Kohden </v>
          </cell>
          <cell r="K422" t="str">
            <v>BSM-1763K</v>
          </cell>
          <cell r="L422" t="str">
            <v>00570</v>
          </cell>
          <cell r="M422">
            <v>2014</v>
          </cell>
          <cell r="N422">
            <v>-1</v>
          </cell>
          <cell r="O422" t="str">
            <v>Invasivo</v>
          </cell>
          <cell r="R422" t="str">
            <v>Semestral</v>
          </cell>
        </row>
        <row r="423">
          <cell r="C423">
            <v>70</v>
          </cell>
          <cell r="D423" t="str">
            <v>2-016151</v>
          </cell>
          <cell r="E423" t="str">
            <v>Monitor Multiparámetros</v>
          </cell>
          <cell r="F423" t="str">
            <v>Pabellón CMA</v>
          </cell>
          <cell r="G423" t="str">
            <v>Pabellón CMA</v>
          </cell>
          <cell r="I423" t="str">
            <v>Adquirido</v>
          </cell>
          <cell r="J423" t="str">
            <v xml:space="preserve">Nihon Kohden </v>
          </cell>
          <cell r="K423" t="str">
            <v>PVM-2701K</v>
          </cell>
          <cell r="L423" t="str">
            <v>0100651</v>
          </cell>
          <cell r="M423">
            <v>2010</v>
          </cell>
          <cell r="N423">
            <v>-5</v>
          </cell>
          <cell r="O423" t="str">
            <v>No Invasivo</v>
          </cell>
        </row>
        <row r="424">
          <cell r="C424">
            <v>71</v>
          </cell>
          <cell r="D424" t="str">
            <v>2-015904</v>
          </cell>
          <cell r="E424" t="str">
            <v>Monitor Multiparámetros</v>
          </cell>
          <cell r="F424" t="str">
            <v>Urgencias Gineco-Obstétricas</v>
          </cell>
          <cell r="G424" t="str">
            <v>Urgencia Obstétrica</v>
          </cell>
          <cell r="H424" t="str">
            <v>Preparto 2</v>
          </cell>
          <cell r="I424" t="str">
            <v>Adquirido</v>
          </cell>
          <cell r="J424" t="str">
            <v>General Electric</v>
          </cell>
          <cell r="K424" t="str">
            <v>Dash 4000</v>
          </cell>
          <cell r="L424" t="str">
            <v>D3DJ7839G</v>
          </cell>
          <cell r="M424">
            <v>2001</v>
          </cell>
          <cell r="N424">
            <v>-14</v>
          </cell>
          <cell r="O424" t="str">
            <v>Invasivo</v>
          </cell>
          <cell r="R424" t="str">
            <v>Semestral</v>
          </cell>
        </row>
        <row r="425">
          <cell r="C425">
            <v>72</v>
          </cell>
          <cell r="D425" t="str">
            <v>2-121187</v>
          </cell>
          <cell r="E425" t="str">
            <v>Monitor Multiparámetros</v>
          </cell>
          <cell r="F425" t="str">
            <v>Medicina</v>
          </cell>
          <cell r="G425" t="str">
            <v>Medicina interna - 5to piso</v>
          </cell>
          <cell r="H425" t="str">
            <v>501-2</v>
          </cell>
          <cell r="I425" t="str">
            <v>Préstamo MINSAL</v>
          </cell>
          <cell r="J425" t="str">
            <v xml:space="preserve">Nihon Kohden </v>
          </cell>
          <cell r="K425" t="str">
            <v>BSM-3562K</v>
          </cell>
          <cell r="L425" t="str">
            <v>29751</v>
          </cell>
          <cell r="M425">
            <v>2021</v>
          </cell>
          <cell r="N425">
            <v>6</v>
          </cell>
          <cell r="O425" t="str">
            <v>Invasivo</v>
          </cell>
          <cell r="Q425" t="str">
            <v>Se realiza cambio de electrovalvula, equipo operativo</v>
          </cell>
          <cell r="R425" t="str">
            <v>Semestral</v>
          </cell>
        </row>
        <row r="426">
          <cell r="C426">
            <v>73</v>
          </cell>
          <cell r="D426" t="str">
            <v>2-015902</v>
          </cell>
          <cell r="E426" t="str">
            <v>Monitor Multiparámetros</v>
          </cell>
          <cell r="F426" t="str">
            <v>Urgencias Gineco-Obstétricas</v>
          </cell>
          <cell r="G426" t="str">
            <v>Urgencia Obstétrica</v>
          </cell>
          <cell r="H426" t="str">
            <v>Preparto Aislado</v>
          </cell>
          <cell r="I426" t="str">
            <v>Adquirido</v>
          </cell>
          <cell r="J426" t="str">
            <v>Philips</v>
          </cell>
          <cell r="K426" t="str">
            <v>VM6</v>
          </cell>
          <cell r="L426" t="str">
            <v>US74915957</v>
          </cell>
          <cell r="M426">
            <v>2008</v>
          </cell>
          <cell r="N426">
            <v>-7</v>
          </cell>
          <cell r="O426" t="str">
            <v>No Invasivo</v>
          </cell>
          <cell r="Q426" t="str">
            <v>15.12.2025 Equipo es dado de baja debido a que presenta problemas en la bomba de inflado, además el equipo se encuentra con su vida util cumplida</v>
          </cell>
          <cell r="R426" t="str">
            <v>Semestral</v>
          </cell>
        </row>
        <row r="427">
          <cell r="C427">
            <v>74</v>
          </cell>
          <cell r="D427" t="str">
            <v>2-118814</v>
          </cell>
          <cell r="E427" t="str">
            <v>Monitor Multiparámetros</v>
          </cell>
          <cell r="F427" t="str">
            <v>Pabellón Quirúrgico</v>
          </cell>
          <cell r="G427" t="str">
            <v>Pabellón Central</v>
          </cell>
          <cell r="H427" t="str">
            <v>Pabellón 2</v>
          </cell>
          <cell r="I427" t="str">
            <v>Adquirido</v>
          </cell>
          <cell r="J427" t="str">
            <v>Drager</v>
          </cell>
          <cell r="K427" t="str">
            <v>M540</v>
          </cell>
          <cell r="L427" t="str">
            <v>5613541864</v>
          </cell>
          <cell r="M427">
            <v>2019</v>
          </cell>
          <cell r="N427">
            <v>4</v>
          </cell>
          <cell r="O427" t="str">
            <v>Invasivo</v>
          </cell>
          <cell r="R427" t="str">
            <v>Semestral</v>
          </cell>
        </row>
        <row r="428">
          <cell r="C428">
            <v>75</v>
          </cell>
          <cell r="D428" t="str">
            <v>2-112722</v>
          </cell>
          <cell r="E428" t="str">
            <v>Monitor Multiparámetros</v>
          </cell>
          <cell r="F428" t="str">
            <v>Urgencias Gineco-Obstétricas</v>
          </cell>
          <cell r="G428" t="str">
            <v>Urgencia Obstétrica</v>
          </cell>
          <cell r="H428" t="str">
            <v>Preparto 2</v>
          </cell>
          <cell r="I428" t="str">
            <v>Adquirido</v>
          </cell>
          <cell r="J428" t="str">
            <v>Philips</v>
          </cell>
          <cell r="K428" t="str">
            <v>VM6</v>
          </cell>
          <cell r="L428" t="str">
            <v>US74915948</v>
          </cell>
          <cell r="M428">
            <v>2008</v>
          </cell>
          <cell r="N428">
            <v>-7</v>
          </cell>
          <cell r="O428" t="str">
            <v>No Invasivo</v>
          </cell>
          <cell r="R428" t="str">
            <v>Semestral</v>
          </cell>
        </row>
        <row r="429">
          <cell r="C429">
            <v>76</v>
          </cell>
          <cell r="D429" t="str">
            <v>2-015901</v>
          </cell>
          <cell r="E429" t="str">
            <v>Monitor Multiparámetros</v>
          </cell>
          <cell r="F429" t="str">
            <v>Urgencias Gineco-Obstétricas</v>
          </cell>
          <cell r="G429" t="str">
            <v>Urgencia Obstétrica</v>
          </cell>
          <cell r="H429" t="str">
            <v>Preparto 1</v>
          </cell>
          <cell r="I429" t="str">
            <v>Adquirido</v>
          </cell>
          <cell r="J429" t="str">
            <v>Philips</v>
          </cell>
          <cell r="K429" t="str">
            <v>VM6</v>
          </cell>
          <cell r="L429" t="str">
            <v>US74915942</v>
          </cell>
          <cell r="M429">
            <v>2008</v>
          </cell>
          <cell r="N429">
            <v>-7</v>
          </cell>
          <cell r="O429" t="str">
            <v>No Invasivo</v>
          </cell>
          <cell r="Q429" t="str">
            <v xml:space="preserve">equipo no encendía, luego se reparó y se entregó al servicio con MP </v>
          </cell>
          <cell r="R429" t="str">
            <v>Semestral</v>
          </cell>
        </row>
        <row r="430">
          <cell r="C430">
            <v>77</v>
          </cell>
          <cell r="D430" t="str">
            <v>2-125217</v>
          </cell>
          <cell r="E430" t="str">
            <v>Monitor Multiparámetros</v>
          </cell>
          <cell r="F430" t="str">
            <v>SAMU</v>
          </cell>
          <cell r="G430" t="str">
            <v>SAMU</v>
          </cell>
          <cell r="H430" t="str">
            <v>Base 1</v>
          </cell>
          <cell r="I430" t="str">
            <v>Arriendo</v>
          </cell>
          <cell r="J430" t="str">
            <v xml:space="preserve">Nihon Kohden </v>
          </cell>
          <cell r="K430" t="str">
            <v>BSM-1763</v>
          </cell>
          <cell r="L430" t="str">
            <v>10912</v>
          </cell>
          <cell r="M430">
            <v>2023</v>
          </cell>
          <cell r="N430">
            <v>8</v>
          </cell>
          <cell r="O430" t="str">
            <v>Invasivo</v>
          </cell>
          <cell r="Q430" t="str">
            <v>06/01/2026 Equipo enviado a ST</v>
          </cell>
          <cell r="R430" t="str">
            <v>Semestral</v>
          </cell>
        </row>
        <row r="431">
          <cell r="C431">
            <v>78</v>
          </cell>
          <cell r="D431" t="str">
            <v>2-125218</v>
          </cell>
          <cell r="E431" t="str">
            <v>Monitor Multiparámetros</v>
          </cell>
          <cell r="F431" t="str">
            <v>SAMU</v>
          </cell>
          <cell r="G431" t="str">
            <v>SAMU</v>
          </cell>
          <cell r="H431" t="str">
            <v>Base 1</v>
          </cell>
          <cell r="I431" t="str">
            <v>Arriendo</v>
          </cell>
          <cell r="J431" t="str">
            <v xml:space="preserve">Nihon Kohden </v>
          </cell>
          <cell r="K431" t="str">
            <v>BSM-1763</v>
          </cell>
          <cell r="L431" t="str">
            <v>10919</v>
          </cell>
          <cell r="M431">
            <v>2023</v>
          </cell>
          <cell r="N431">
            <v>8</v>
          </cell>
          <cell r="O431" t="str">
            <v>Invasivo</v>
          </cell>
          <cell r="R431" t="str">
            <v>Semestral</v>
          </cell>
        </row>
        <row r="432">
          <cell r="C432">
            <v>79</v>
          </cell>
          <cell r="D432" t="str">
            <v>2-133062</v>
          </cell>
          <cell r="E432" t="str">
            <v>Monitor Multiparámetros</v>
          </cell>
          <cell r="F432" t="str">
            <v>Hemato Oncología Adulto</v>
          </cell>
          <cell r="G432" t="str">
            <v>Hemato Oncología Adulto</v>
          </cell>
          <cell r="I432" t="str">
            <v>Adquirido</v>
          </cell>
          <cell r="J432" t="str">
            <v>Drager</v>
          </cell>
          <cell r="K432" t="str">
            <v>Vista 120 S</v>
          </cell>
          <cell r="L432" t="str">
            <v>S2SRF0982</v>
          </cell>
          <cell r="M432">
            <v>2024</v>
          </cell>
          <cell r="N432">
            <v>9</v>
          </cell>
          <cell r="O432" t="str">
            <v>Invasivo</v>
          </cell>
          <cell r="Q432" t="str">
            <v>Equipo con 24 meses de garant√≠a, 2 visitas anuales desde el 02-09-2024</v>
          </cell>
          <cell r="R432" t="str">
            <v>Semestral</v>
          </cell>
        </row>
        <row r="433">
          <cell r="C433">
            <v>80</v>
          </cell>
          <cell r="D433" t="str">
            <v>2-133063</v>
          </cell>
          <cell r="E433" t="str">
            <v>Monitor Multiparámetros</v>
          </cell>
          <cell r="F433" t="str">
            <v>Hemato Oncología Adulto</v>
          </cell>
          <cell r="G433" t="str">
            <v>Hemato Oncología Adulto</v>
          </cell>
          <cell r="I433" t="str">
            <v>Adquirido</v>
          </cell>
          <cell r="J433" t="str">
            <v>Drager</v>
          </cell>
          <cell r="K433" t="str">
            <v>Vista 120 S</v>
          </cell>
          <cell r="L433" t="str">
            <v>S2SRF0969</v>
          </cell>
          <cell r="M433">
            <v>2024</v>
          </cell>
          <cell r="N433">
            <v>9</v>
          </cell>
          <cell r="O433" t="str">
            <v>Invasivo</v>
          </cell>
          <cell r="Q433" t="str">
            <v>Equipo con 24 meses de garant√≠a, 2 visitas anuales desde el 02-09-2024</v>
          </cell>
          <cell r="R433" t="str">
            <v>Semestral</v>
          </cell>
        </row>
        <row r="434">
          <cell r="C434">
            <v>81</v>
          </cell>
          <cell r="D434" t="str">
            <v>2-134896</v>
          </cell>
          <cell r="E434" t="str">
            <v>Monitor Multiparámetros</v>
          </cell>
          <cell r="F434" t="str">
            <v>CR ONCOLOGICO AMBULATORIO</v>
          </cell>
          <cell r="G434" t="str">
            <v>CR ONCOLOGICO AMBULATORIO</v>
          </cell>
          <cell r="H434" t="str">
            <v>MODLULO ZD CTD</v>
          </cell>
          <cell r="I434" t="str">
            <v>Adquirido</v>
          </cell>
          <cell r="J434" t="str">
            <v>NORTHERN</v>
          </cell>
          <cell r="K434" t="str">
            <v>Aquarius ECG</v>
          </cell>
          <cell r="L434" t="str">
            <v>JH01B910030</v>
          </cell>
          <cell r="M434">
            <v>2025</v>
          </cell>
          <cell r="N434">
            <v>10</v>
          </cell>
          <cell r="O434" t="str">
            <v>No Invasivo</v>
          </cell>
          <cell r="Q434" t="str">
            <v>Garantia 24 meses a partir de 11-07-2025</v>
          </cell>
          <cell r="R434" t="str">
            <v>Semestral</v>
          </cell>
        </row>
        <row r="435">
          <cell r="C435">
            <v>82</v>
          </cell>
          <cell r="D435" t="str">
            <v>2-133064</v>
          </cell>
          <cell r="E435" t="str">
            <v>Monitor Multiparámetros</v>
          </cell>
          <cell r="F435" t="str">
            <v>Hemato Oncología Adulto</v>
          </cell>
          <cell r="G435" t="str">
            <v>Hemato Oncología Adulto</v>
          </cell>
          <cell r="I435" t="str">
            <v>Adquirido</v>
          </cell>
          <cell r="J435" t="str">
            <v>Drager</v>
          </cell>
          <cell r="K435" t="str">
            <v>Vista 120 S</v>
          </cell>
          <cell r="L435" t="str">
            <v>S2SRF0978</v>
          </cell>
          <cell r="M435">
            <v>2024</v>
          </cell>
          <cell r="N435">
            <v>9</v>
          </cell>
          <cell r="O435" t="str">
            <v>Invasivo</v>
          </cell>
          <cell r="Q435" t="str">
            <v>Equipo con 24 meses de garant√≠a, 2 visitas anuales desde el 02-09-2024</v>
          </cell>
          <cell r="R435" t="str">
            <v>Semestral</v>
          </cell>
        </row>
        <row r="436">
          <cell r="C436">
            <v>83</v>
          </cell>
          <cell r="D436" t="str">
            <v>2-116524</v>
          </cell>
          <cell r="E436" t="str">
            <v>Monitor Multiparámetros</v>
          </cell>
          <cell r="F436" t="str">
            <v>UPC Pediátrica</v>
          </cell>
          <cell r="G436" t="str">
            <v>UCI Pediátrica</v>
          </cell>
          <cell r="H436" t="str">
            <v>UCI-Sala 8</v>
          </cell>
          <cell r="I436" t="str">
            <v>Arriendo</v>
          </cell>
          <cell r="J436" t="str">
            <v>SPACELABS HEALTHCARE</v>
          </cell>
          <cell r="K436" t="str">
            <v>XPREZZON</v>
          </cell>
          <cell r="L436" t="str">
            <v>1393-109326</v>
          </cell>
          <cell r="M436">
            <v>2018</v>
          </cell>
          <cell r="N436">
            <v>3</v>
          </cell>
          <cell r="O436" t="str">
            <v>Invasivo</v>
          </cell>
          <cell r="R436" t="str">
            <v>Semestral</v>
          </cell>
        </row>
        <row r="437">
          <cell r="C437">
            <v>84</v>
          </cell>
          <cell r="D437" t="str">
            <v>2-133065</v>
          </cell>
          <cell r="E437" t="str">
            <v>Monitor Multiparámetros</v>
          </cell>
          <cell r="F437" t="str">
            <v>Hemato Oncología Adulto</v>
          </cell>
          <cell r="G437" t="str">
            <v>Hemato Oncología Adulto</v>
          </cell>
          <cell r="I437" t="str">
            <v>Adquirido</v>
          </cell>
          <cell r="J437" t="str">
            <v>Drager</v>
          </cell>
          <cell r="K437" t="str">
            <v>Vista 120 S</v>
          </cell>
          <cell r="L437" t="str">
            <v>S2SRF0975</v>
          </cell>
          <cell r="M437">
            <v>2024</v>
          </cell>
          <cell r="N437">
            <v>9</v>
          </cell>
          <cell r="O437" t="str">
            <v>Invasivo</v>
          </cell>
          <cell r="Q437" t="str">
            <v>Equipo con 24 meses de garant√≠a, 2 visitas anuales desde el 02-09-2024</v>
          </cell>
          <cell r="R437" t="str">
            <v>Semestral</v>
          </cell>
        </row>
        <row r="438">
          <cell r="C438">
            <v>85</v>
          </cell>
          <cell r="D438" t="str">
            <v>2-017381</v>
          </cell>
          <cell r="E438" t="str">
            <v>Monitor Multiparámetros</v>
          </cell>
          <cell r="F438" t="str">
            <v>Pabellón Quirúrgico (Prestado a Imagenología)</v>
          </cell>
          <cell r="G438" t="str">
            <v xml:space="preserve">Imagenología </v>
          </cell>
          <cell r="H438" t="str">
            <v>Angiógrafo zócalo</v>
          </cell>
          <cell r="I438" t="str">
            <v>Adquirido</v>
          </cell>
          <cell r="J438" t="str">
            <v xml:space="preserve">Drager </v>
          </cell>
          <cell r="K438" t="str">
            <v>Infinity Kappa</v>
          </cell>
          <cell r="L438" t="str">
            <v>5494757898</v>
          </cell>
          <cell r="M438">
            <v>2012</v>
          </cell>
          <cell r="N438">
            <v>-3</v>
          </cell>
          <cell r="O438" t="str">
            <v>Invasivo</v>
          </cell>
          <cell r="Q438" t="str">
            <v>trazabilidad.</v>
          </cell>
          <cell r="R438" t="str">
            <v>Semestral</v>
          </cell>
        </row>
        <row r="439">
          <cell r="C439">
            <v>86</v>
          </cell>
          <cell r="D439" t="str">
            <v>2-112531</v>
          </cell>
          <cell r="E439" t="str">
            <v>Monitor Multiparámetros</v>
          </cell>
          <cell r="F439" t="str">
            <v>Pabellones Gineco-Obstétricos</v>
          </cell>
          <cell r="G439" t="str">
            <v xml:space="preserve">Sala de Procedimientos Partos </v>
          </cell>
          <cell r="I439" t="str">
            <v>Adquirido</v>
          </cell>
          <cell r="J439" t="str">
            <v xml:space="preserve">Drager </v>
          </cell>
          <cell r="K439" t="str">
            <v>Infinity Kappa</v>
          </cell>
          <cell r="L439" t="str">
            <v>5494770058</v>
          </cell>
          <cell r="M439">
            <v>2012</v>
          </cell>
          <cell r="N439">
            <v>-3</v>
          </cell>
          <cell r="O439" t="str">
            <v>Invasivo</v>
          </cell>
          <cell r="R439" t="str">
            <v>Semestral</v>
          </cell>
        </row>
        <row r="440">
          <cell r="C440">
            <v>87</v>
          </cell>
          <cell r="D440" t="str">
            <v>2-024460</v>
          </cell>
          <cell r="E440" t="str">
            <v>Monitor Multiparámetros</v>
          </cell>
          <cell r="F440" t="str">
            <v>Pabellón Quirúrgico</v>
          </cell>
          <cell r="G440" t="str">
            <v>Pabellón Central</v>
          </cell>
          <cell r="I440" t="str">
            <v>Adquirido</v>
          </cell>
          <cell r="J440" t="str">
            <v xml:space="preserve">Drager </v>
          </cell>
          <cell r="K440" t="str">
            <v>Infinity Kappa</v>
          </cell>
          <cell r="L440" t="str">
            <v>5494537845</v>
          </cell>
          <cell r="M440">
            <v>2011</v>
          </cell>
          <cell r="N440">
            <v>-4</v>
          </cell>
          <cell r="O440" t="str">
            <v>Invasivo</v>
          </cell>
          <cell r="R440" t="str">
            <v>Semestral</v>
          </cell>
        </row>
        <row r="441">
          <cell r="C441">
            <v>88</v>
          </cell>
          <cell r="D441" t="str">
            <v>2-121188</v>
          </cell>
          <cell r="E441" t="str">
            <v>Monitor Multiparámetros</v>
          </cell>
          <cell r="F441" t="str">
            <v>Medicina</v>
          </cell>
          <cell r="G441" t="str">
            <v>Medicina interna - 5to piso</v>
          </cell>
          <cell r="H441" t="str">
            <v>510-2</v>
          </cell>
          <cell r="I441" t="str">
            <v>Préstamo MINSAL</v>
          </cell>
          <cell r="J441" t="str">
            <v xml:space="preserve">Nihon Kohden </v>
          </cell>
          <cell r="K441" t="str">
            <v>BSM-3562K</v>
          </cell>
          <cell r="L441" t="str">
            <v>29761</v>
          </cell>
          <cell r="M441">
            <v>2021</v>
          </cell>
          <cell r="N441">
            <v>6</v>
          </cell>
          <cell r="O441" t="str">
            <v>Invasivo</v>
          </cell>
          <cell r="R441" t="str">
            <v>Semestral</v>
          </cell>
        </row>
        <row r="442">
          <cell r="C442">
            <v>89</v>
          </cell>
          <cell r="D442" t="str">
            <v>2-017347</v>
          </cell>
          <cell r="E442" t="str">
            <v>Monitor Multiparámetros</v>
          </cell>
          <cell r="F442" t="str">
            <v>Pabellón Quirúrgico</v>
          </cell>
          <cell r="G442" t="str">
            <v>Pabellón Central</v>
          </cell>
          <cell r="H442" t="str">
            <v>Angiógrafo FD20</v>
          </cell>
          <cell r="I442" t="str">
            <v>Adquirido</v>
          </cell>
          <cell r="J442" t="str">
            <v xml:space="preserve">Drager </v>
          </cell>
          <cell r="K442" t="str">
            <v>Infinity Kappa</v>
          </cell>
          <cell r="L442" t="str">
            <v>5493645944</v>
          </cell>
          <cell r="M442">
            <v>2006</v>
          </cell>
          <cell r="N442">
            <v>-9</v>
          </cell>
          <cell r="O442" t="str">
            <v>Invasivo</v>
          </cell>
          <cell r="Q442" t="str">
            <v>29.10.2025 se sella abertura de carcasa</v>
          </cell>
          <cell r="R442" t="str">
            <v>Semestral</v>
          </cell>
        </row>
        <row r="443">
          <cell r="C443">
            <v>90</v>
          </cell>
          <cell r="D443" t="str">
            <v>2-022637</v>
          </cell>
          <cell r="E443" t="str">
            <v>Monitor Multiparámetros</v>
          </cell>
          <cell r="F443" t="str">
            <v>Pabellones Gineco-Obstétricos</v>
          </cell>
          <cell r="G443" t="str">
            <v xml:space="preserve">Sala de Procedimientos Partos </v>
          </cell>
          <cell r="H443" t="str">
            <v>Pasillo</v>
          </cell>
          <cell r="I443" t="str">
            <v>Adquirido</v>
          </cell>
          <cell r="J443" t="str">
            <v xml:space="preserve">Drager </v>
          </cell>
          <cell r="K443" t="str">
            <v>Infinity Kappa</v>
          </cell>
          <cell r="L443" t="str">
            <v>5494286652</v>
          </cell>
          <cell r="M443">
            <v>2011</v>
          </cell>
          <cell r="N443">
            <v>-4</v>
          </cell>
          <cell r="O443" t="str">
            <v>Invasivo</v>
          </cell>
          <cell r="R443" t="str">
            <v>Semestral</v>
          </cell>
        </row>
        <row r="444">
          <cell r="C444">
            <v>91</v>
          </cell>
          <cell r="D444" t="str">
            <v>2-016196</v>
          </cell>
          <cell r="E444" t="str">
            <v>Monitor Multiparámetros</v>
          </cell>
          <cell r="F444" t="str">
            <v>Pabellón Quirúrgico</v>
          </cell>
          <cell r="G444" t="str">
            <v>Pabellón Central</v>
          </cell>
          <cell r="H444" t="str">
            <v>Pre Anestesia</v>
          </cell>
          <cell r="I444" t="str">
            <v>Adquirido</v>
          </cell>
          <cell r="J444" t="str">
            <v xml:space="preserve">Drager </v>
          </cell>
          <cell r="K444" t="str">
            <v>Infinity Kappa</v>
          </cell>
          <cell r="L444" t="str">
            <v>5493642252</v>
          </cell>
          <cell r="M444">
            <v>2006</v>
          </cell>
          <cell r="N444">
            <v>-9</v>
          </cell>
          <cell r="O444" t="str">
            <v>Invasivo</v>
          </cell>
          <cell r="R444" t="str">
            <v>Semestral</v>
          </cell>
        </row>
        <row r="445">
          <cell r="C445">
            <v>92</v>
          </cell>
          <cell r="D445" t="str">
            <v>2-116503</v>
          </cell>
          <cell r="E445" t="str">
            <v>Monitor Multiparámetros</v>
          </cell>
          <cell r="F445" t="str">
            <v>UPC Pediátrica</v>
          </cell>
          <cell r="G445" t="str">
            <v>UTI Pediátrica</v>
          </cell>
          <cell r="H445" t="str">
            <v>UTI-Sala 1</v>
          </cell>
          <cell r="I445" t="str">
            <v>Arriendo</v>
          </cell>
          <cell r="J445" t="str">
            <v>SPACELABS HEALTHCARE</v>
          </cell>
          <cell r="K445" t="str">
            <v>XPREZZON</v>
          </cell>
          <cell r="L445" t="str">
            <v>1393-109311</v>
          </cell>
          <cell r="M445">
            <v>2018</v>
          </cell>
          <cell r="N445">
            <v>3</v>
          </cell>
          <cell r="O445" t="str">
            <v>Invasivo</v>
          </cell>
          <cell r="R445" t="str">
            <v>Semestral</v>
          </cell>
        </row>
        <row r="446">
          <cell r="C446">
            <v>93</v>
          </cell>
          <cell r="D446" t="str">
            <v>2-112502</v>
          </cell>
          <cell r="E446" t="str">
            <v>Monitor Multiparámetros</v>
          </cell>
          <cell r="F446" t="str">
            <v>Cardiología</v>
          </cell>
          <cell r="G446" t="str">
            <v>CDT Módulo C</v>
          </cell>
          <cell r="H446" t="str">
            <v>Modulo C box Eco</v>
          </cell>
          <cell r="I446" t="str">
            <v>Adquirido</v>
          </cell>
          <cell r="J446" t="str">
            <v xml:space="preserve">Drager </v>
          </cell>
          <cell r="K446" t="str">
            <v>Infinity Vista</v>
          </cell>
          <cell r="L446" t="str">
            <v>5395660070</v>
          </cell>
          <cell r="M446">
            <v>2007</v>
          </cell>
          <cell r="N446">
            <v>-8</v>
          </cell>
          <cell r="O446" t="str">
            <v>Invasivo</v>
          </cell>
          <cell r="R446" t="str">
            <v>Semestral</v>
          </cell>
        </row>
        <row r="447">
          <cell r="C447">
            <v>94</v>
          </cell>
          <cell r="D447" t="str">
            <v>2-112572</v>
          </cell>
          <cell r="E447" t="str">
            <v>Monitor Multiparámetros</v>
          </cell>
          <cell r="F447" t="str">
            <v>Imagenología (Prestado a Pabellón Quirúrgico)</v>
          </cell>
          <cell r="G447" t="str">
            <v>Pabellón Quirúrgico</v>
          </cell>
          <cell r="H447" t="str">
            <v>Pabellón 2</v>
          </cell>
          <cell r="I447" t="str">
            <v>Adquirido</v>
          </cell>
          <cell r="J447" t="str">
            <v xml:space="preserve">Drager </v>
          </cell>
          <cell r="K447" t="str">
            <v>Infinity Kappa</v>
          </cell>
          <cell r="L447" t="str">
            <v>5494287054</v>
          </cell>
          <cell r="M447">
            <v>2011</v>
          </cell>
          <cell r="N447">
            <v>-4</v>
          </cell>
          <cell r="O447" t="str">
            <v>Invasivo</v>
          </cell>
          <cell r="Q447" t="str">
            <v>trazabilidad.</v>
          </cell>
          <cell r="R447" t="str">
            <v>Semestral</v>
          </cell>
        </row>
        <row r="448">
          <cell r="C448">
            <v>95</v>
          </cell>
          <cell r="D448" t="str">
            <v>2-116504</v>
          </cell>
          <cell r="E448" t="str">
            <v>Monitor Multiparámetros</v>
          </cell>
          <cell r="F448" t="str">
            <v>UPC Pediátrica</v>
          </cell>
          <cell r="G448" t="str">
            <v>UTI Pediátrica</v>
          </cell>
          <cell r="H448" t="str">
            <v>UTI-Sala 2</v>
          </cell>
          <cell r="I448" t="str">
            <v>Arriendo</v>
          </cell>
          <cell r="J448" t="str">
            <v>SPACELABS HEALTHCARE</v>
          </cell>
          <cell r="K448" t="str">
            <v>XPREZZON</v>
          </cell>
          <cell r="L448" t="str">
            <v>1393-109319</v>
          </cell>
          <cell r="M448">
            <v>2018</v>
          </cell>
          <cell r="N448">
            <v>3</v>
          </cell>
          <cell r="O448" t="str">
            <v>Invasivo</v>
          </cell>
          <cell r="R448" t="str">
            <v>Semestral</v>
          </cell>
        </row>
        <row r="449">
          <cell r="C449">
            <v>96</v>
          </cell>
          <cell r="D449" t="str">
            <v>2-024433</v>
          </cell>
          <cell r="E449" t="str">
            <v>Monitor Multiparámetros</v>
          </cell>
          <cell r="F449" t="str">
            <v>Pabellón Quirúrgico</v>
          </cell>
          <cell r="G449" t="str">
            <v>Pabellón Central</v>
          </cell>
          <cell r="H449" t="str">
            <v>CDT-P2-QF07</v>
          </cell>
          <cell r="I449" t="str">
            <v>Adquirido</v>
          </cell>
          <cell r="J449" t="str">
            <v xml:space="preserve">Drager </v>
          </cell>
          <cell r="K449" t="str">
            <v>Infinity Kappa</v>
          </cell>
          <cell r="L449" t="str">
            <v>5493757948</v>
          </cell>
          <cell r="M449">
            <v>2011</v>
          </cell>
          <cell r="N449">
            <v>-4</v>
          </cell>
          <cell r="O449" t="str">
            <v>Invasivo</v>
          </cell>
          <cell r="R449" t="str">
            <v>Semestral</v>
          </cell>
        </row>
        <row r="450">
          <cell r="C450">
            <v>97</v>
          </cell>
          <cell r="D450" t="str">
            <v>2-133447</v>
          </cell>
          <cell r="E450" t="str">
            <v>Monitor Multiparámetros</v>
          </cell>
          <cell r="F450" t="str">
            <v>Ginecología</v>
          </cell>
          <cell r="G450" t="str">
            <v>Ginecología</v>
          </cell>
          <cell r="H450" t="str">
            <v>EPA-P4-SA06</v>
          </cell>
          <cell r="I450" t="str">
            <v>Adquirido</v>
          </cell>
          <cell r="J450" t="str">
            <v xml:space="preserve">Drager </v>
          </cell>
          <cell r="K450" t="str">
            <v>Vista 300</v>
          </cell>
          <cell r="L450" t="str">
            <v>VSSTB0049</v>
          </cell>
          <cell r="M450">
            <v>2024</v>
          </cell>
          <cell r="N450">
            <v>9</v>
          </cell>
          <cell r="O450" t="str">
            <v>Invasivo</v>
          </cell>
          <cell r="Q450" t="str">
            <v>Garant√≠a de 24 meses a partir 03-12-2024. 2 MP anuales Jun-Dic</v>
          </cell>
          <cell r="R450" t="str">
            <v>Semestral</v>
          </cell>
        </row>
        <row r="451">
          <cell r="C451">
            <v>98</v>
          </cell>
          <cell r="D451" t="str">
            <v>2-116507</v>
          </cell>
          <cell r="E451" t="str">
            <v>Monitor Multiparámetros</v>
          </cell>
          <cell r="F451" t="str">
            <v>UPC Pediátrica</v>
          </cell>
          <cell r="G451" t="str">
            <v>UTI Pediátrica</v>
          </cell>
          <cell r="H451" t="str">
            <v>Cama 3</v>
          </cell>
          <cell r="I451" t="str">
            <v>Arriendo</v>
          </cell>
          <cell r="J451" t="str">
            <v>SPACELABS HEALTHCARE</v>
          </cell>
          <cell r="K451" t="str">
            <v>XPREZZON</v>
          </cell>
          <cell r="L451" t="str">
            <v>1393-109304</v>
          </cell>
          <cell r="M451">
            <v>2018</v>
          </cell>
          <cell r="N451">
            <v>3</v>
          </cell>
          <cell r="O451" t="str">
            <v>Invasivo</v>
          </cell>
          <cell r="R451" t="str">
            <v>Semestral</v>
          </cell>
        </row>
        <row r="452">
          <cell r="C452">
            <v>99</v>
          </cell>
          <cell r="D452" t="str">
            <v>2-133448</v>
          </cell>
          <cell r="E452" t="str">
            <v>Monitor Multiparámetros</v>
          </cell>
          <cell r="F452" t="str">
            <v>Ginecología</v>
          </cell>
          <cell r="G452" t="str">
            <v>Ginecología</v>
          </cell>
          <cell r="H452" t="str">
            <v>EPA-P4-SA06</v>
          </cell>
          <cell r="I452" t="str">
            <v>Adquirido</v>
          </cell>
          <cell r="J452" t="str">
            <v xml:space="preserve">Drager </v>
          </cell>
          <cell r="K452" t="str">
            <v>Vista 300</v>
          </cell>
          <cell r="L452" t="str">
            <v>VSSTB0059</v>
          </cell>
          <cell r="M452">
            <v>2024</v>
          </cell>
          <cell r="N452">
            <v>9</v>
          </cell>
          <cell r="O452" t="str">
            <v>Invasivo</v>
          </cell>
          <cell r="Q452" t="str">
            <v>Garant√≠a de 24 meses a partir 03-12-2024. 2 MP anuales Jun-Dic</v>
          </cell>
          <cell r="R452" t="str">
            <v>Semestral</v>
          </cell>
        </row>
        <row r="453">
          <cell r="C453">
            <v>100</v>
          </cell>
          <cell r="D453" t="str">
            <v>2-116506</v>
          </cell>
          <cell r="E453" t="str">
            <v>Monitor Multiparámetros</v>
          </cell>
          <cell r="F453" t="str">
            <v>UPC Pediátrica</v>
          </cell>
          <cell r="G453" t="str">
            <v>UTI Pediátrica</v>
          </cell>
          <cell r="H453" t="str">
            <v>Cama 4</v>
          </cell>
          <cell r="I453" t="str">
            <v>Arriendo</v>
          </cell>
          <cell r="J453" t="str">
            <v>SPACELABS HEALTHCARE</v>
          </cell>
          <cell r="K453" t="str">
            <v>XPREZZON</v>
          </cell>
          <cell r="L453" t="str">
            <v>1393-109320</v>
          </cell>
          <cell r="M453">
            <v>2018</v>
          </cell>
          <cell r="N453">
            <v>3</v>
          </cell>
          <cell r="O453" t="str">
            <v>Invasivo</v>
          </cell>
          <cell r="R453" t="str">
            <v>Semestral</v>
          </cell>
        </row>
        <row r="454">
          <cell r="C454">
            <v>101</v>
          </cell>
          <cell r="D454" t="str">
            <v>2-023094</v>
          </cell>
          <cell r="E454" t="str">
            <v>Monitor Multiparámetros</v>
          </cell>
          <cell r="F454" t="str">
            <v>Pabellón (Recuperación)</v>
          </cell>
          <cell r="G454" t="str">
            <v>Recuperaci√≥n Pabell√≥n Central</v>
          </cell>
          <cell r="H454" t="str">
            <v>Oficina Supervisora</v>
          </cell>
          <cell r="I454" t="str">
            <v>Adquirido</v>
          </cell>
          <cell r="J454" t="str">
            <v xml:space="preserve">Nihon Kohden </v>
          </cell>
          <cell r="K454" t="str">
            <v>BSM-2351K</v>
          </cell>
          <cell r="L454" t="str">
            <v>03646.</v>
          </cell>
          <cell r="M454">
            <v>2007</v>
          </cell>
          <cell r="N454">
            <v>-8</v>
          </cell>
          <cell r="O454" t="str">
            <v>No Invasivo</v>
          </cell>
          <cell r="Q454" t="str">
            <v>Equipo es dado de baja el 28-10-2025</v>
          </cell>
          <cell r="R454" t="str">
            <v>Semestral</v>
          </cell>
        </row>
        <row r="455">
          <cell r="C455">
            <v>102</v>
          </cell>
          <cell r="D455" t="str">
            <v>2-134895</v>
          </cell>
          <cell r="E455" t="str">
            <v>Monitor Multiparámetros</v>
          </cell>
          <cell r="F455" t="str">
            <v>CR ONCOLOGICO AMBULATORIO</v>
          </cell>
          <cell r="G455" t="str">
            <v>CR ONCOLOGICO AMBULATORIO</v>
          </cell>
          <cell r="H455" t="str">
            <v>MODULO ZD CDT</v>
          </cell>
          <cell r="I455" t="str">
            <v>Adquirido</v>
          </cell>
          <cell r="J455" t="str">
            <v>NORTHERN</v>
          </cell>
          <cell r="K455" t="str">
            <v>Aquarius ECG</v>
          </cell>
          <cell r="L455" t="str">
            <v>JB01B910013</v>
          </cell>
          <cell r="M455">
            <v>2025</v>
          </cell>
          <cell r="N455">
            <v>10</v>
          </cell>
          <cell r="O455" t="str">
            <v>No Invasivo</v>
          </cell>
          <cell r="Q455" t="str">
            <v>Garantia 24 meses a partir de 11-07-2025</v>
          </cell>
          <cell r="R455" t="str">
            <v>Semestral</v>
          </cell>
        </row>
        <row r="456">
          <cell r="C456">
            <v>103</v>
          </cell>
          <cell r="D456" t="str">
            <v>2-119651</v>
          </cell>
          <cell r="E456" t="str">
            <v>Monitor Multiparámetros</v>
          </cell>
          <cell r="F456" t="str">
            <v>Medicina (Prestado a Psiquiatria)</v>
          </cell>
          <cell r="G456" t="str">
            <v>Psiquiatria</v>
          </cell>
          <cell r="H456" t="str">
            <v>Salud Mental</v>
          </cell>
          <cell r="I456" t="str">
            <v>Adquirido</v>
          </cell>
          <cell r="J456" t="str">
            <v>General Electric</v>
          </cell>
          <cell r="K456" t="str">
            <v>B105</v>
          </cell>
          <cell r="L456" t="str">
            <v>SQE19510002SA</v>
          </cell>
          <cell r="M456">
            <v>2020</v>
          </cell>
          <cell r="N456">
            <v>5</v>
          </cell>
          <cell r="O456" t="str">
            <v>Invasivo</v>
          </cell>
          <cell r="Q456" t="str">
            <v>trazabilidad</v>
          </cell>
          <cell r="R456" t="str">
            <v>Semestral</v>
          </cell>
        </row>
        <row r="457">
          <cell r="C457">
            <v>104</v>
          </cell>
          <cell r="D457" t="str">
            <v>2-133532</v>
          </cell>
          <cell r="E457" t="str">
            <v>Monitor Multiparámetros</v>
          </cell>
          <cell r="F457" t="str">
            <v>Pabellones Gineco-Obstétricos</v>
          </cell>
          <cell r="G457" t="str">
            <v>Pabellones Gineco-Obstétricos</v>
          </cell>
          <cell r="I457" t="str">
            <v>Adquirido</v>
          </cell>
          <cell r="J457" t="str">
            <v xml:space="preserve">Drager </v>
          </cell>
          <cell r="K457" t="str">
            <v>Vista 300</v>
          </cell>
          <cell r="L457" t="str">
            <v>VSSTA0230</v>
          </cell>
          <cell r="M457">
            <v>2024</v>
          </cell>
          <cell r="N457">
            <v>9</v>
          </cell>
          <cell r="O457" t="str">
            <v>Invasivo</v>
          </cell>
          <cell r="Q457" t="str">
            <v>Garant√≠a desde el 12-12-24. 36 meses de garant√≠a y 2 MP anuales.</v>
          </cell>
          <cell r="R457" t="str">
            <v>Semestral</v>
          </cell>
        </row>
        <row r="458">
          <cell r="C458">
            <v>105</v>
          </cell>
          <cell r="D458" t="str">
            <v>2-116505</v>
          </cell>
          <cell r="E458" t="str">
            <v>Monitor Multiparámetros</v>
          </cell>
          <cell r="F458" t="str">
            <v>UPC Pediátrica</v>
          </cell>
          <cell r="G458" t="str">
            <v>UTI Pediátrica</v>
          </cell>
          <cell r="H458" t="str">
            <v>Cama 5</v>
          </cell>
          <cell r="I458" t="str">
            <v>Arriendo</v>
          </cell>
          <cell r="J458" t="str">
            <v>SPACELABS HEALTHCARE</v>
          </cell>
          <cell r="K458" t="str">
            <v>XPREZZON</v>
          </cell>
          <cell r="L458" t="str">
            <v>1393-109322</v>
          </cell>
          <cell r="M458">
            <v>2018</v>
          </cell>
          <cell r="N458">
            <v>3</v>
          </cell>
          <cell r="O458" t="str">
            <v>Invasivo</v>
          </cell>
          <cell r="R458" t="str">
            <v>Semestral</v>
          </cell>
        </row>
        <row r="459">
          <cell r="C459">
            <v>106</v>
          </cell>
          <cell r="D459" t="str">
            <v>2-113494</v>
          </cell>
          <cell r="E459" t="str">
            <v>Monitor Multiparámetros</v>
          </cell>
          <cell r="F459" t="str">
            <v>Pabellón CMA</v>
          </cell>
          <cell r="G459" t="str">
            <v>Pabellón CMA</v>
          </cell>
          <cell r="I459" t="str">
            <v>Adquirido</v>
          </cell>
          <cell r="J459" t="str">
            <v>SPACELABS HEALTHCARE</v>
          </cell>
          <cell r="K459" t="str">
            <v>Elance 2.0</v>
          </cell>
          <cell r="L459" t="str">
            <v>3300-004914</v>
          </cell>
          <cell r="M459">
            <v>2012</v>
          </cell>
          <cell r="N459">
            <v>-3</v>
          </cell>
          <cell r="O459" t="str">
            <v>No Invasivo</v>
          </cell>
          <cell r="R459" t="str">
            <v>Semestral</v>
          </cell>
        </row>
        <row r="460">
          <cell r="C460">
            <v>107</v>
          </cell>
          <cell r="D460" t="str">
            <v>121010-024574</v>
          </cell>
          <cell r="E460" t="str">
            <v>Monitor Multiparámetros</v>
          </cell>
          <cell r="F460" t="str">
            <v>Unidad Evaluación Paciente Imputado</v>
          </cell>
          <cell r="G460" t="str">
            <v>UEPI</v>
          </cell>
          <cell r="H460" t="str">
            <v>UEPI-103</v>
          </cell>
          <cell r="I460" t="str">
            <v>Adquirido</v>
          </cell>
          <cell r="J460" t="str">
            <v xml:space="preserve">Nihon Kohden </v>
          </cell>
          <cell r="K460" t="str">
            <v>Vismo 2701K</v>
          </cell>
          <cell r="L460" t="str">
            <v>0131641</v>
          </cell>
          <cell r="M460">
            <v>2020</v>
          </cell>
          <cell r="N460">
            <v>5</v>
          </cell>
          <cell r="O460" t="str">
            <v>Invasivo</v>
          </cell>
          <cell r="Q460" t="str">
            <v>Traspaso al Hospital del el 22-10-2024</v>
          </cell>
          <cell r="R460" t="str">
            <v>Semestral</v>
          </cell>
        </row>
        <row r="461">
          <cell r="C461">
            <v>108</v>
          </cell>
          <cell r="D461" t="str">
            <v>2-116508</v>
          </cell>
          <cell r="E461" t="str">
            <v>Monitor Multiparámetros</v>
          </cell>
          <cell r="F461" t="str">
            <v>UPC Pediátrica</v>
          </cell>
          <cell r="G461" t="str">
            <v>UTI Pediátrica</v>
          </cell>
          <cell r="H461" t="str">
            <v>Cama 6</v>
          </cell>
          <cell r="I461" t="str">
            <v>Arriendo</v>
          </cell>
          <cell r="J461" t="str">
            <v>SPACELABS HEALTHCARE</v>
          </cell>
          <cell r="K461" t="str">
            <v>XPREZZON</v>
          </cell>
          <cell r="L461" t="str">
            <v>1393-109327</v>
          </cell>
          <cell r="M461">
            <v>2018</v>
          </cell>
          <cell r="N461">
            <v>3</v>
          </cell>
          <cell r="O461" t="str">
            <v>Invasivo</v>
          </cell>
          <cell r="R461" t="str">
            <v>Semestral</v>
          </cell>
        </row>
        <row r="462">
          <cell r="C462">
            <v>109</v>
          </cell>
          <cell r="D462" t="str">
            <v>2-118854</v>
          </cell>
          <cell r="E462" t="str">
            <v>Monitor Multiparámetros</v>
          </cell>
          <cell r="F462" t="str">
            <v>Pabellón Quirúrgico</v>
          </cell>
          <cell r="G462" t="str">
            <v>Pabellón Central</v>
          </cell>
          <cell r="H462" t="str">
            <v>Pabellón 9</v>
          </cell>
          <cell r="I462" t="str">
            <v>Adquirido</v>
          </cell>
          <cell r="J462" t="str">
            <v>Drager</v>
          </cell>
          <cell r="K462" t="str">
            <v>M540</v>
          </cell>
          <cell r="L462" t="str">
            <v>5613541169</v>
          </cell>
          <cell r="M462">
            <v>2019</v>
          </cell>
          <cell r="N462">
            <v>4</v>
          </cell>
          <cell r="O462" t="str">
            <v>Invasivo</v>
          </cell>
          <cell r="Q462" t="str">
            <v>Equipo fuera de servicio ST 19-18107</v>
          </cell>
          <cell r="R462" t="str">
            <v>Semestral</v>
          </cell>
        </row>
        <row r="463">
          <cell r="C463">
            <v>110</v>
          </cell>
          <cell r="D463" t="str">
            <v>2-116510</v>
          </cell>
          <cell r="E463" t="str">
            <v>Monitor Multiparámetros</v>
          </cell>
          <cell r="F463" t="str">
            <v>UPC Pediátrica</v>
          </cell>
          <cell r="G463" t="str">
            <v>UTI Pediátrica</v>
          </cell>
          <cell r="H463" t="str">
            <v>Cama 7</v>
          </cell>
          <cell r="I463" t="str">
            <v>Arriendo</v>
          </cell>
          <cell r="J463" t="str">
            <v>SPACELABS HEALTHCARE</v>
          </cell>
          <cell r="K463" t="str">
            <v>XPREZZON</v>
          </cell>
          <cell r="L463" t="str">
            <v>1393-109328</v>
          </cell>
          <cell r="M463">
            <v>2018</v>
          </cell>
          <cell r="N463">
            <v>3</v>
          </cell>
          <cell r="O463" t="str">
            <v>Invasivo</v>
          </cell>
          <cell r="R463" t="str">
            <v>Semestral</v>
          </cell>
        </row>
        <row r="464">
          <cell r="C464">
            <v>111</v>
          </cell>
          <cell r="D464" t="str">
            <v>2-016560</v>
          </cell>
          <cell r="E464" t="str">
            <v>Monitor Multiparámetros</v>
          </cell>
          <cell r="F464" t="str">
            <v>Pediatría</v>
          </cell>
          <cell r="G464" t="str">
            <v>Pediatría Lactantes</v>
          </cell>
          <cell r="H464" t="str">
            <v>Sala de equipos</v>
          </cell>
          <cell r="I464" t="str">
            <v>Adquirido</v>
          </cell>
          <cell r="J464" t="str">
            <v xml:space="preserve">Drager </v>
          </cell>
          <cell r="K464" t="str">
            <v xml:space="preserve">Infinity Vista </v>
          </cell>
          <cell r="L464" t="str">
            <v>5514429166</v>
          </cell>
          <cell r="M464">
            <v>2007</v>
          </cell>
          <cell r="N464">
            <v>-8</v>
          </cell>
          <cell r="O464" t="str">
            <v>Invasivo</v>
          </cell>
          <cell r="R464" t="str">
            <v>Semestral</v>
          </cell>
        </row>
        <row r="465">
          <cell r="C465">
            <v>112</v>
          </cell>
          <cell r="D465" t="str">
            <v>2-124788</v>
          </cell>
          <cell r="E465" t="str">
            <v>Monitor Multiparámetros</v>
          </cell>
          <cell r="F465" t="str">
            <v>Quimioterapia Ambulatoria Adulto</v>
          </cell>
          <cell r="G465" t="str">
            <v>QMT Ambulatoria Adulto</v>
          </cell>
          <cell r="H465" t="str">
            <v>EPC-P2</v>
          </cell>
          <cell r="I465" t="str">
            <v>Adquirido</v>
          </cell>
          <cell r="J465" t="str">
            <v>Mindray</v>
          </cell>
          <cell r="K465" t="str">
            <v>UMEC10</v>
          </cell>
          <cell r="L465" t="str">
            <v>KN-25140948</v>
          </cell>
          <cell r="M465">
            <v>2023</v>
          </cell>
          <cell r="N465">
            <v>8</v>
          </cell>
          <cell r="O465" t="str">
            <v>No Invasivo</v>
          </cell>
          <cell r="R465" t="str">
            <v>Semestral</v>
          </cell>
        </row>
        <row r="466">
          <cell r="C466">
            <v>113</v>
          </cell>
          <cell r="D466" t="str">
            <v>2-023497</v>
          </cell>
          <cell r="E466" t="str">
            <v>Monitor Multiparámetros</v>
          </cell>
          <cell r="F466" t="str">
            <v>Neonatología</v>
          </cell>
          <cell r="G466" t="str">
            <v>UTI Neonatología</v>
          </cell>
          <cell r="I466" t="str">
            <v>Adquirido</v>
          </cell>
          <cell r="J466" t="str">
            <v>Philips</v>
          </cell>
          <cell r="K466" t="str">
            <v>M8003A</v>
          </cell>
          <cell r="L466" t="str">
            <v>DE82025973</v>
          </cell>
          <cell r="M466">
            <v>2012</v>
          </cell>
          <cell r="N466">
            <v>-3</v>
          </cell>
          <cell r="O466" t="str">
            <v>Invasivo</v>
          </cell>
          <cell r="Q466" t="str">
            <v>Equipo es enviado a ST Andover. Modulos PANI, ECG y SPO2 defectuosos. 14-04-25</v>
          </cell>
          <cell r="R466" t="str">
            <v>Semestral</v>
          </cell>
        </row>
        <row r="467">
          <cell r="C467">
            <v>114</v>
          </cell>
          <cell r="D467" t="str">
            <v>2-027939</v>
          </cell>
          <cell r="E467" t="str">
            <v>Monitor Multiparámetros</v>
          </cell>
          <cell r="F467" t="str">
            <v>Neonatología</v>
          </cell>
          <cell r="G467" t="str">
            <v>UTI Neonatología</v>
          </cell>
          <cell r="I467" t="str">
            <v>Adquirido</v>
          </cell>
          <cell r="J467" t="str">
            <v>Philips</v>
          </cell>
          <cell r="K467" t="str">
            <v>M8003A</v>
          </cell>
          <cell r="L467" t="str">
            <v>DE82025965</v>
          </cell>
          <cell r="M467">
            <v>2012</v>
          </cell>
          <cell r="N467">
            <v>-3</v>
          </cell>
          <cell r="O467" t="str">
            <v>Invasivo</v>
          </cell>
          <cell r="R467" t="str">
            <v>Semestral</v>
          </cell>
        </row>
        <row r="468">
          <cell r="C468">
            <v>115</v>
          </cell>
          <cell r="D468" t="str">
            <v>2-134990</v>
          </cell>
          <cell r="E468" t="str">
            <v>Monitor Multiparámetros</v>
          </cell>
          <cell r="F468" t="str">
            <v>Quimioterapia Ambulatoria Adulto</v>
          </cell>
          <cell r="G468" t="str">
            <v>QMT Ambulatoria Adulto</v>
          </cell>
          <cell r="I468" t="str">
            <v>Adquirido</v>
          </cell>
          <cell r="J468" t="str">
            <v>Drager</v>
          </cell>
          <cell r="K468" t="str">
            <v>Vista 120</v>
          </cell>
          <cell r="L468" t="str">
            <v>VSSTE0203</v>
          </cell>
          <cell r="M468">
            <v>2025</v>
          </cell>
          <cell r="N468">
            <v>10</v>
          </cell>
          <cell r="O468" t="str">
            <v>Invasivo</v>
          </cell>
          <cell r="R468" t="str">
            <v>Semestral</v>
          </cell>
        </row>
        <row r="469">
          <cell r="C469">
            <v>116</v>
          </cell>
          <cell r="D469" t="str">
            <v>2-119259</v>
          </cell>
          <cell r="E469" t="str">
            <v>Oxímetro</v>
          </cell>
          <cell r="F469" t="str">
            <v>Neonatología</v>
          </cell>
          <cell r="G469" t="str">
            <v>UCI Neonatología</v>
          </cell>
          <cell r="I469" t="str">
            <v>Adquirido</v>
          </cell>
          <cell r="J469" t="str">
            <v>SOMANETICS</v>
          </cell>
          <cell r="K469" t="str">
            <v>5100C</v>
          </cell>
          <cell r="L469" t="str">
            <v>(21)17G11325X</v>
          </cell>
          <cell r="M469">
            <v>2020</v>
          </cell>
          <cell r="N469">
            <v>5</v>
          </cell>
          <cell r="O469" t="str">
            <v>No Invasivo</v>
          </cell>
          <cell r="R469" t="str">
            <v>Semestral</v>
          </cell>
        </row>
        <row r="470">
          <cell r="C470">
            <v>117</v>
          </cell>
          <cell r="D470" t="str">
            <v>2-119260</v>
          </cell>
          <cell r="E470" t="str">
            <v>Oxímetro</v>
          </cell>
          <cell r="F470" t="str">
            <v>Neonatología</v>
          </cell>
          <cell r="G470" t="str">
            <v>UCI Neonatología</v>
          </cell>
          <cell r="I470" t="str">
            <v>Adquirido</v>
          </cell>
          <cell r="J470" t="str">
            <v>SOMANETICS</v>
          </cell>
          <cell r="K470" t="str">
            <v>5100C</v>
          </cell>
          <cell r="L470" t="str">
            <v>(21)18G10312X</v>
          </cell>
          <cell r="M470">
            <v>2020</v>
          </cell>
          <cell r="N470">
            <v>5</v>
          </cell>
          <cell r="O470" t="str">
            <v>No Invasivo</v>
          </cell>
          <cell r="Q470" t="str">
            <v>equipo operativo</v>
          </cell>
          <cell r="R470" t="str">
            <v>Semestral</v>
          </cell>
        </row>
        <row r="471">
          <cell r="C471">
            <v>118</v>
          </cell>
          <cell r="D471" t="str">
            <v>2-119363</v>
          </cell>
          <cell r="E471" t="str">
            <v>Monitor Multiparámetros</v>
          </cell>
          <cell r="F471" t="str">
            <v>Pabellón (Recuperación)</v>
          </cell>
          <cell r="G471" t="str">
            <v>Recuperación Pabellón Central</v>
          </cell>
          <cell r="H471" t="str">
            <v>Cama N° 17</v>
          </cell>
          <cell r="I471" t="str">
            <v>Adquirido</v>
          </cell>
          <cell r="J471" t="str">
            <v>Drager</v>
          </cell>
          <cell r="K471" t="str">
            <v>Vista 120</v>
          </cell>
          <cell r="L471" t="str">
            <v>VGSML0046</v>
          </cell>
          <cell r="M471">
            <v>2020</v>
          </cell>
          <cell r="N471">
            <v>5</v>
          </cell>
          <cell r="O471" t="str">
            <v>Invasivo</v>
          </cell>
          <cell r="Q471" t="str">
            <v>24.10.2025 cambio de sensor spo2 y cambio de manguito PANI</v>
          </cell>
          <cell r="R471" t="str">
            <v>Semestral</v>
          </cell>
        </row>
        <row r="472">
          <cell r="C472">
            <v>119</v>
          </cell>
          <cell r="D472" t="str">
            <v>2-119364</v>
          </cell>
          <cell r="E472" t="str">
            <v>Monitor Multiparámetros</v>
          </cell>
          <cell r="F472" t="str">
            <v>Pabellón (Recuperación)</v>
          </cell>
          <cell r="G472" t="str">
            <v>Recuperación Pabellón Central</v>
          </cell>
          <cell r="H472" t="str">
            <v>Unidad N° 11</v>
          </cell>
          <cell r="I472" t="str">
            <v>Adquirido</v>
          </cell>
          <cell r="J472" t="str">
            <v>Drager</v>
          </cell>
          <cell r="K472" t="str">
            <v>Vista 120</v>
          </cell>
          <cell r="L472" t="str">
            <v>VGSML0057</v>
          </cell>
          <cell r="M472">
            <v>2020</v>
          </cell>
          <cell r="N472">
            <v>5</v>
          </cell>
          <cell r="O472" t="str">
            <v>Invasivo</v>
          </cell>
          <cell r="Q472" t="str">
            <v>23.10.2025 se realiza cambio de la interfase de SPO2, reposición de manguera y manguito PANI</v>
          </cell>
          <cell r="R472" t="str">
            <v>Semestral</v>
          </cell>
        </row>
        <row r="473">
          <cell r="C473">
            <v>120</v>
          </cell>
          <cell r="D473" t="str">
            <v>2-119365</v>
          </cell>
          <cell r="E473" t="str">
            <v>Monitor Multiparámetros</v>
          </cell>
          <cell r="F473" t="str">
            <v>Pabellón (Recuperación)</v>
          </cell>
          <cell r="G473" t="str">
            <v>Recuperación Pabellón Central</v>
          </cell>
          <cell r="H473" t="str">
            <v>Cama 14</v>
          </cell>
          <cell r="I473" t="str">
            <v>Adquirido</v>
          </cell>
          <cell r="J473" t="str">
            <v>Drager</v>
          </cell>
          <cell r="K473" t="str">
            <v>Vista 120</v>
          </cell>
          <cell r="L473" t="str">
            <v>VGSML0043</v>
          </cell>
          <cell r="M473">
            <v>2020</v>
          </cell>
          <cell r="N473">
            <v>5</v>
          </cell>
          <cell r="O473" t="str">
            <v>Invasivo</v>
          </cell>
          <cell r="Q473" t="str">
            <v>24.10.2025 reposición cable de poder</v>
          </cell>
          <cell r="R473" t="str">
            <v>Semestral</v>
          </cell>
        </row>
        <row r="474">
          <cell r="C474">
            <v>121</v>
          </cell>
          <cell r="D474" t="str">
            <v>2-119366</v>
          </cell>
          <cell r="E474" t="str">
            <v>Monitor Multiparámetros</v>
          </cell>
          <cell r="F474" t="str">
            <v>Pabellón (Recuperación)</v>
          </cell>
          <cell r="G474" t="str">
            <v>Recuperación Pabellón Central</v>
          </cell>
          <cell r="H474" t="str">
            <v>Unidad N° 03</v>
          </cell>
          <cell r="I474" t="str">
            <v>Adquirido</v>
          </cell>
          <cell r="J474" t="str">
            <v>Drager</v>
          </cell>
          <cell r="K474" t="str">
            <v>Vista 120</v>
          </cell>
          <cell r="L474" t="str">
            <v>VGSML0044</v>
          </cell>
          <cell r="M474">
            <v>2020</v>
          </cell>
          <cell r="N474">
            <v>5</v>
          </cell>
          <cell r="O474" t="str">
            <v>Invasivo</v>
          </cell>
          <cell r="R474" t="str">
            <v>Semestral</v>
          </cell>
        </row>
        <row r="475">
          <cell r="C475">
            <v>122</v>
          </cell>
          <cell r="D475" t="str">
            <v>2-119367</v>
          </cell>
          <cell r="E475" t="str">
            <v>Monitor Multiparámetros</v>
          </cell>
          <cell r="F475" t="str">
            <v>Pabellón (Recuperación) prestado a UPC Adulto</v>
          </cell>
          <cell r="G475" t="str">
            <v>Recuperación Pabellón Central</v>
          </cell>
          <cell r="H475" t="str">
            <v>Oficina Supervisora</v>
          </cell>
          <cell r="I475" t="str">
            <v>Adquirido</v>
          </cell>
          <cell r="J475" t="str">
            <v>Drager</v>
          </cell>
          <cell r="K475" t="str">
            <v>Vista 120</v>
          </cell>
          <cell r="L475" t="str">
            <v>VGSML0047</v>
          </cell>
          <cell r="M475">
            <v>2020</v>
          </cell>
          <cell r="N475">
            <v>5</v>
          </cell>
          <cell r="O475" t="str">
            <v>Invasivo</v>
          </cell>
          <cell r="Q475" t="str">
            <v>24.10.2025 sin observaciones</v>
          </cell>
          <cell r="R475" t="str">
            <v>Semestral</v>
          </cell>
        </row>
        <row r="476">
          <cell r="C476">
            <v>123</v>
          </cell>
          <cell r="D476" t="str">
            <v>2-119368</v>
          </cell>
          <cell r="E476" t="str">
            <v>Monitor Multiparámetros</v>
          </cell>
          <cell r="F476" t="str">
            <v>Pabellón (Recuperación)</v>
          </cell>
          <cell r="G476" t="str">
            <v>Recuperación Pabellón Central</v>
          </cell>
          <cell r="H476" t="str">
            <v>Unidad N° 10</v>
          </cell>
          <cell r="I476" t="str">
            <v>Adquirido</v>
          </cell>
          <cell r="J476" t="str">
            <v>Drager</v>
          </cell>
          <cell r="K476" t="str">
            <v>Vista 120</v>
          </cell>
          <cell r="L476" t="str">
            <v>VGSML0049</v>
          </cell>
          <cell r="M476">
            <v>2020</v>
          </cell>
          <cell r="N476">
            <v>5</v>
          </cell>
          <cell r="O476" t="str">
            <v>Invasivo</v>
          </cell>
          <cell r="R476" t="str">
            <v>Semestral</v>
          </cell>
        </row>
        <row r="477">
          <cell r="C477">
            <v>124</v>
          </cell>
          <cell r="D477" t="str">
            <v>2-119369</v>
          </cell>
          <cell r="E477" t="str">
            <v>Monitor Multiparámetros</v>
          </cell>
          <cell r="F477" t="str">
            <v>Pabellón (Recuperación)</v>
          </cell>
          <cell r="G477" t="str">
            <v>Recuperación Pabellón Central</v>
          </cell>
          <cell r="H477" t="str">
            <v>Cama 15</v>
          </cell>
          <cell r="I477" t="str">
            <v>Adquirido</v>
          </cell>
          <cell r="J477" t="str">
            <v>Drager</v>
          </cell>
          <cell r="K477" t="str">
            <v>Vista 120</v>
          </cell>
          <cell r="L477" t="str">
            <v>VGSML0050</v>
          </cell>
          <cell r="M477">
            <v>2020</v>
          </cell>
          <cell r="N477">
            <v>5</v>
          </cell>
          <cell r="O477" t="str">
            <v>Invasivo</v>
          </cell>
          <cell r="Q477" t="str">
            <v>24.10.2025 sin observaciones</v>
          </cell>
          <cell r="R477" t="str">
            <v>Semestral</v>
          </cell>
        </row>
        <row r="478">
          <cell r="C478">
            <v>125</v>
          </cell>
          <cell r="D478" t="str">
            <v>2-119370</v>
          </cell>
          <cell r="E478" t="str">
            <v>Monitor Multiparámetros</v>
          </cell>
          <cell r="F478" t="str">
            <v>Pabellón (Recuperación)</v>
          </cell>
          <cell r="G478" t="str">
            <v>Recuperación Pabellón Central</v>
          </cell>
          <cell r="H478" t="str">
            <v>Cama N° 12</v>
          </cell>
          <cell r="I478" t="str">
            <v>Adquirido</v>
          </cell>
          <cell r="J478" t="str">
            <v>Drager</v>
          </cell>
          <cell r="K478" t="str">
            <v>Vista 120</v>
          </cell>
          <cell r="L478" t="str">
            <v>VGSML0062</v>
          </cell>
          <cell r="M478">
            <v>2020</v>
          </cell>
          <cell r="N478">
            <v>5</v>
          </cell>
          <cell r="O478" t="str">
            <v>Invasivo</v>
          </cell>
          <cell r="Q478" t="str">
            <v>23.10.2025 se realiza cambio del saturómetro</v>
          </cell>
          <cell r="R478" t="str">
            <v>Semestral</v>
          </cell>
        </row>
        <row r="479">
          <cell r="C479">
            <v>126</v>
          </cell>
          <cell r="D479" t="str">
            <v>2-119371</v>
          </cell>
          <cell r="E479" t="str">
            <v>Monitor Multiparámetros</v>
          </cell>
          <cell r="F479" t="str">
            <v>Pabellón (Recuperación)</v>
          </cell>
          <cell r="G479" t="str">
            <v>Recuperación Pabellón Central</v>
          </cell>
          <cell r="H479" t="str">
            <v>Cama N° 16</v>
          </cell>
          <cell r="I479" t="str">
            <v>Adquirido</v>
          </cell>
          <cell r="J479" t="str">
            <v>Drager</v>
          </cell>
          <cell r="K479" t="str">
            <v>Vista 120</v>
          </cell>
          <cell r="L479" t="str">
            <v>VGSML0065</v>
          </cell>
          <cell r="M479">
            <v>2020</v>
          </cell>
          <cell r="N479">
            <v>5</v>
          </cell>
          <cell r="O479" t="str">
            <v>Invasivo</v>
          </cell>
          <cell r="Q479" t="str">
            <v>23.10.2025 se realiza cambio de saturometro</v>
          </cell>
          <cell r="R479" t="str">
            <v>Semestral</v>
          </cell>
        </row>
        <row r="480">
          <cell r="C480">
            <v>127</v>
          </cell>
          <cell r="D480" t="str">
            <v>2-027911</v>
          </cell>
          <cell r="E480" t="str">
            <v>Monitor Multiparámetros</v>
          </cell>
          <cell r="F480" t="str">
            <v>Neonatología</v>
          </cell>
          <cell r="G480" t="str">
            <v>UTI Neonatología</v>
          </cell>
          <cell r="I480" t="str">
            <v>Adquirido</v>
          </cell>
          <cell r="J480" t="str">
            <v xml:space="preserve">Nihon Kohden </v>
          </cell>
          <cell r="K480" t="str">
            <v>PVM-2701K</v>
          </cell>
          <cell r="L480" t="str">
            <v>0100639</v>
          </cell>
          <cell r="M480">
            <v>2011</v>
          </cell>
          <cell r="N480">
            <v>-4</v>
          </cell>
          <cell r="O480" t="str">
            <v>No Invasivo</v>
          </cell>
          <cell r="R480" t="str">
            <v>Semestral</v>
          </cell>
        </row>
        <row r="481">
          <cell r="C481">
            <v>128</v>
          </cell>
          <cell r="D481" t="str">
            <v>2-027888</v>
          </cell>
          <cell r="E481" t="str">
            <v>Monitor Multiparámetros</v>
          </cell>
          <cell r="F481" t="str">
            <v>Neonatología</v>
          </cell>
          <cell r="G481" t="str">
            <v>UTI Neonatología</v>
          </cell>
          <cell r="I481" t="str">
            <v>Adquirido</v>
          </cell>
          <cell r="J481" t="str">
            <v xml:space="preserve">Nihon Kohden </v>
          </cell>
          <cell r="K481" t="str">
            <v>BSM-6301K</v>
          </cell>
          <cell r="L481" t="str">
            <v>01070</v>
          </cell>
          <cell r="M481">
            <v>2009</v>
          </cell>
          <cell r="N481">
            <v>-6</v>
          </cell>
          <cell r="O481" t="str">
            <v>Invasivo</v>
          </cell>
          <cell r="Q481" t="str">
            <v>Equipo es enviado a ST Bluemedical 12-02-25. Falla al medir PANI</v>
          </cell>
          <cell r="R481" t="str">
            <v>Semestral</v>
          </cell>
        </row>
        <row r="482">
          <cell r="C482">
            <v>129</v>
          </cell>
          <cell r="D482" t="str">
            <v>2-016546</v>
          </cell>
          <cell r="E482" t="str">
            <v>Monitor Multiparámetros</v>
          </cell>
          <cell r="F482" t="str">
            <v>Neonatología</v>
          </cell>
          <cell r="G482" t="str">
            <v>UTI Neonatología</v>
          </cell>
          <cell r="I482" t="str">
            <v>Adquirido</v>
          </cell>
          <cell r="J482" t="str">
            <v xml:space="preserve">Nihon Kohden </v>
          </cell>
          <cell r="K482" t="str">
            <v>BSM-6301K</v>
          </cell>
          <cell r="L482" t="str">
            <v>01033</v>
          </cell>
          <cell r="M482">
            <v>2009</v>
          </cell>
          <cell r="N482">
            <v>-6</v>
          </cell>
          <cell r="O482" t="str">
            <v>Invasivo</v>
          </cell>
          <cell r="R482" t="str">
            <v>Semestral</v>
          </cell>
        </row>
        <row r="483">
          <cell r="C483">
            <v>130</v>
          </cell>
          <cell r="D483" t="str">
            <v>2-027912</v>
          </cell>
          <cell r="E483" t="str">
            <v>Monitor Multiparámetros</v>
          </cell>
          <cell r="F483" t="str">
            <v>Neonatología</v>
          </cell>
          <cell r="G483" t="str">
            <v>UTI Neonatología</v>
          </cell>
          <cell r="I483" t="str">
            <v>Adquirido</v>
          </cell>
          <cell r="J483" t="str">
            <v xml:space="preserve">Nihon Kohden </v>
          </cell>
          <cell r="K483" t="str">
            <v>BSM-6301K</v>
          </cell>
          <cell r="L483" t="str">
            <v>01044</v>
          </cell>
          <cell r="M483">
            <v>2009</v>
          </cell>
          <cell r="N483">
            <v>-6</v>
          </cell>
          <cell r="O483" t="str">
            <v>Invasivo</v>
          </cell>
          <cell r="R483" t="str">
            <v>Semestral</v>
          </cell>
        </row>
        <row r="484">
          <cell r="C484">
            <v>131</v>
          </cell>
          <cell r="D484" t="str">
            <v>2-027891</v>
          </cell>
          <cell r="E484" t="str">
            <v>Monitor Multiparámetros</v>
          </cell>
          <cell r="F484" t="str">
            <v>Neonatología</v>
          </cell>
          <cell r="G484" t="str">
            <v>UTI Neonatología</v>
          </cell>
          <cell r="I484" t="str">
            <v>Adquirido</v>
          </cell>
          <cell r="J484" t="str">
            <v xml:space="preserve">Nihon Kohden </v>
          </cell>
          <cell r="K484" t="str">
            <v>BSM-6301K</v>
          </cell>
          <cell r="L484" t="str">
            <v>01071</v>
          </cell>
          <cell r="M484">
            <v>2009</v>
          </cell>
          <cell r="N484">
            <v>-6</v>
          </cell>
          <cell r="O484" t="str">
            <v>Invasivo</v>
          </cell>
          <cell r="R484" t="str">
            <v>Semestral</v>
          </cell>
        </row>
        <row r="485">
          <cell r="C485">
            <v>132</v>
          </cell>
          <cell r="D485" t="str">
            <v>2-016561</v>
          </cell>
          <cell r="E485" t="str">
            <v>Monitor Multiparámetros</v>
          </cell>
          <cell r="F485" t="str">
            <v>UPC Pediátrica</v>
          </cell>
          <cell r="G485" t="str">
            <v>UCI Pediátrica</v>
          </cell>
          <cell r="H485" t="str">
            <v>Bodega</v>
          </cell>
          <cell r="I485" t="str">
            <v>Adquirido</v>
          </cell>
          <cell r="J485" t="str">
            <v xml:space="preserve">Drager </v>
          </cell>
          <cell r="K485" t="str">
            <v xml:space="preserve">Infinity Vista </v>
          </cell>
          <cell r="L485" t="str">
            <v>5516412180</v>
          </cell>
          <cell r="M485">
            <v>2012</v>
          </cell>
          <cell r="N485">
            <v>-3</v>
          </cell>
          <cell r="O485" t="str">
            <v>Invasivo</v>
          </cell>
          <cell r="Q485" t="str">
            <v>Se recomienda cambio de batería 28-02-25</v>
          </cell>
          <cell r="R485" t="str">
            <v>Semestral</v>
          </cell>
        </row>
        <row r="486">
          <cell r="C486">
            <v>133</v>
          </cell>
          <cell r="D486" t="str">
            <v>2-112499</v>
          </cell>
          <cell r="E486" t="str">
            <v>Monitor Multiparámetros</v>
          </cell>
          <cell r="F486" t="str">
            <v>Pediatría</v>
          </cell>
          <cell r="G486" t="str">
            <v>Pediatría Lactantes</v>
          </cell>
          <cell r="H486" t="str">
            <v>Sala de equipos</v>
          </cell>
          <cell r="I486" t="str">
            <v>Adquirido</v>
          </cell>
          <cell r="J486" t="str">
            <v xml:space="preserve">Drager </v>
          </cell>
          <cell r="K486" t="str">
            <v xml:space="preserve">Infinity Vista </v>
          </cell>
          <cell r="L486" t="str">
            <v>5516412278</v>
          </cell>
          <cell r="M486">
            <v>2012</v>
          </cell>
          <cell r="N486">
            <v>-3</v>
          </cell>
          <cell r="O486" t="str">
            <v>Invasivo</v>
          </cell>
          <cell r="R486" t="str">
            <v>Semestral</v>
          </cell>
        </row>
        <row r="487">
          <cell r="C487">
            <v>134</v>
          </cell>
          <cell r="D487" t="str">
            <v>2-027889</v>
          </cell>
          <cell r="E487" t="str">
            <v>Monitor Multiparámetros</v>
          </cell>
          <cell r="F487" t="str">
            <v>Neonatología</v>
          </cell>
          <cell r="G487" t="str">
            <v>UTI Neonatología</v>
          </cell>
          <cell r="I487" t="str">
            <v>Adquirido</v>
          </cell>
          <cell r="J487" t="str">
            <v xml:space="preserve">Nihon Kohden </v>
          </cell>
          <cell r="K487" t="str">
            <v>BSM-6301K</v>
          </cell>
          <cell r="L487" t="str">
            <v>01051</v>
          </cell>
          <cell r="M487">
            <v>2009</v>
          </cell>
          <cell r="N487">
            <v>-6</v>
          </cell>
          <cell r="O487" t="str">
            <v>Invasivo</v>
          </cell>
          <cell r="R487" t="str">
            <v>Semestral</v>
          </cell>
        </row>
        <row r="488">
          <cell r="C488">
            <v>135</v>
          </cell>
          <cell r="D488" t="str">
            <v>2-112659</v>
          </cell>
          <cell r="E488" t="str">
            <v>Monitor Multiparámetros</v>
          </cell>
          <cell r="F488" t="str">
            <v>Neonatología</v>
          </cell>
          <cell r="G488" t="str">
            <v>UTI Neonatología</v>
          </cell>
          <cell r="I488" t="str">
            <v>Adquirido</v>
          </cell>
          <cell r="J488" t="str">
            <v xml:space="preserve">Nihon Kohden </v>
          </cell>
          <cell r="K488" t="str">
            <v>PVM-2701K</v>
          </cell>
          <cell r="L488" t="str">
            <v>0100657</v>
          </cell>
          <cell r="M488">
            <v>2011</v>
          </cell>
          <cell r="N488">
            <v>-4</v>
          </cell>
          <cell r="O488" t="str">
            <v>No Invasivo</v>
          </cell>
          <cell r="R488" t="str">
            <v>Semestral</v>
          </cell>
        </row>
        <row r="489">
          <cell r="C489">
            <v>136</v>
          </cell>
          <cell r="D489" t="str">
            <v>2-027887</v>
          </cell>
          <cell r="E489" t="str">
            <v>Monitor Multiparámetros</v>
          </cell>
          <cell r="F489" t="str">
            <v>Pediatría</v>
          </cell>
          <cell r="G489" t="str">
            <v>Pediatría Lactantes</v>
          </cell>
          <cell r="H489" t="str">
            <v>Sala de equipos</v>
          </cell>
          <cell r="I489" t="str">
            <v>Adquirido</v>
          </cell>
          <cell r="J489" t="str">
            <v xml:space="preserve">Drager </v>
          </cell>
          <cell r="K489" t="str">
            <v xml:space="preserve">Infinity Vista </v>
          </cell>
          <cell r="L489" t="str">
            <v>5514422672</v>
          </cell>
          <cell r="M489">
            <v>2007</v>
          </cell>
          <cell r="N489">
            <v>-8</v>
          </cell>
          <cell r="O489" t="str">
            <v>Invasivo</v>
          </cell>
          <cell r="Q489" t="str">
            <v>Se cambio la carcasa y label 08-09-23</v>
          </cell>
          <cell r="R489" t="str">
            <v>Semestral</v>
          </cell>
        </row>
        <row r="490">
          <cell r="C490">
            <v>137</v>
          </cell>
          <cell r="D490" t="str">
            <v>2-027890</v>
          </cell>
          <cell r="E490" t="str">
            <v>Monitor Multiparámetros</v>
          </cell>
          <cell r="F490" t="str">
            <v>Neonatología</v>
          </cell>
          <cell r="G490" t="str">
            <v>UTI Neonatología</v>
          </cell>
          <cell r="I490" t="str">
            <v>Adquirido</v>
          </cell>
          <cell r="J490" t="str">
            <v xml:space="preserve">Nihon Kohden </v>
          </cell>
          <cell r="K490" t="str">
            <v>BSM-6301K</v>
          </cell>
          <cell r="L490" t="str">
            <v>01037</v>
          </cell>
          <cell r="M490">
            <v>2007</v>
          </cell>
          <cell r="N490">
            <v>-8</v>
          </cell>
          <cell r="O490" t="str">
            <v>Invasivo</v>
          </cell>
          <cell r="R490" t="str">
            <v>Semestral</v>
          </cell>
        </row>
        <row r="491">
          <cell r="C491">
            <v>138</v>
          </cell>
          <cell r="D491" t="str">
            <v>2-023484</v>
          </cell>
          <cell r="E491" t="str">
            <v>Monitor Multiparámetros</v>
          </cell>
          <cell r="F491" t="str">
            <v>Pediatría</v>
          </cell>
          <cell r="G491" t="str">
            <v>Pediatría Lactantes</v>
          </cell>
          <cell r="H491" t="str">
            <v>Sala de equipos</v>
          </cell>
          <cell r="I491" t="str">
            <v>Adquirido</v>
          </cell>
          <cell r="J491" t="str">
            <v xml:space="preserve">Drager </v>
          </cell>
          <cell r="K491" t="str">
            <v xml:space="preserve">Infinity Vista </v>
          </cell>
          <cell r="L491" t="str">
            <v>5516414472</v>
          </cell>
          <cell r="M491">
            <v>2012</v>
          </cell>
          <cell r="N491">
            <v>-3</v>
          </cell>
          <cell r="O491" t="str">
            <v>Invasivo</v>
          </cell>
          <cell r="R491" t="str">
            <v>Semestral</v>
          </cell>
        </row>
        <row r="492">
          <cell r="C492">
            <v>139</v>
          </cell>
          <cell r="D492" t="str">
            <v>2-016545</v>
          </cell>
          <cell r="E492" t="str">
            <v>Monitor Multiparámetros</v>
          </cell>
          <cell r="F492" t="str">
            <v>Pediatría</v>
          </cell>
          <cell r="G492" t="str">
            <v>Pediatría Lactantes</v>
          </cell>
          <cell r="H492" t="str">
            <v>Sala de equipos</v>
          </cell>
          <cell r="I492" t="str">
            <v>Adquirido</v>
          </cell>
          <cell r="J492" t="str">
            <v xml:space="preserve">Nihon Kohden </v>
          </cell>
          <cell r="K492" t="str">
            <v>PVM-2701K</v>
          </cell>
          <cell r="L492" t="str">
            <v>0100649</v>
          </cell>
          <cell r="M492">
            <v>2011</v>
          </cell>
          <cell r="N492">
            <v>-4</v>
          </cell>
          <cell r="O492" t="str">
            <v>No Invasivo</v>
          </cell>
          <cell r="Q492" t="str">
            <v>equipo operativo</v>
          </cell>
          <cell r="R492" t="str">
            <v>Semestral</v>
          </cell>
        </row>
        <row r="493">
          <cell r="C493">
            <v>140</v>
          </cell>
          <cell r="D493" t="str">
            <v>2-023483</v>
          </cell>
          <cell r="E493" t="str">
            <v>Monitor Multiparámetros</v>
          </cell>
          <cell r="F493" t="str">
            <v>Pediatría</v>
          </cell>
          <cell r="G493" t="str">
            <v>Pediatría Lactantes</v>
          </cell>
          <cell r="H493" t="str">
            <v>Segunda infancia</v>
          </cell>
          <cell r="I493" t="str">
            <v>Adquirido</v>
          </cell>
          <cell r="J493" t="str">
            <v xml:space="preserve">Nihon Kohden </v>
          </cell>
          <cell r="K493" t="str">
            <v>PVM-2701K</v>
          </cell>
          <cell r="L493" t="str">
            <v>0100640</v>
          </cell>
          <cell r="M493">
            <v>2011</v>
          </cell>
          <cell r="N493">
            <v>-4</v>
          </cell>
          <cell r="O493" t="str">
            <v>No Invasivo</v>
          </cell>
          <cell r="R493" t="str">
            <v>Semestral</v>
          </cell>
        </row>
        <row r="494">
          <cell r="C494">
            <v>141</v>
          </cell>
          <cell r="D494" t="str">
            <v>2-017324</v>
          </cell>
          <cell r="E494" t="str">
            <v>Monitor Multiparámetros</v>
          </cell>
          <cell r="F494" t="str">
            <v>Pabellón Quirúrgico</v>
          </cell>
          <cell r="G494" t="str">
            <v>Pabellón Central</v>
          </cell>
          <cell r="H494" t="str">
            <v>CDT-P2-QF08</v>
          </cell>
          <cell r="I494" t="str">
            <v>Adquirido</v>
          </cell>
          <cell r="J494" t="str">
            <v xml:space="preserve">Drager </v>
          </cell>
          <cell r="K494" t="str">
            <v>Infinity Kappa</v>
          </cell>
          <cell r="L494" t="str">
            <v>5494782651</v>
          </cell>
          <cell r="M494">
            <v>2012</v>
          </cell>
          <cell r="N494">
            <v>-3</v>
          </cell>
          <cell r="O494" t="str">
            <v>Invasivo</v>
          </cell>
          <cell r="R494" t="str">
            <v>Semestral</v>
          </cell>
        </row>
        <row r="495">
          <cell r="C495">
            <v>142</v>
          </cell>
          <cell r="D495" t="str">
            <v>2-002719</v>
          </cell>
          <cell r="E495" t="str">
            <v>Monitor Multiparámetros</v>
          </cell>
          <cell r="F495" t="str">
            <v>Traumatología</v>
          </cell>
          <cell r="G495" t="str">
            <v>Traumatología</v>
          </cell>
          <cell r="H495" t="str">
            <v>Cirugía Trauma</v>
          </cell>
          <cell r="I495" t="str">
            <v>Adquirido</v>
          </cell>
          <cell r="J495" t="str">
            <v xml:space="preserve">Nihon Kohden </v>
          </cell>
          <cell r="K495" t="str">
            <v>BSM-6301K</v>
          </cell>
          <cell r="L495" t="str">
            <v>01035.</v>
          </cell>
          <cell r="M495">
            <v>2009</v>
          </cell>
          <cell r="N495">
            <v>-6</v>
          </cell>
          <cell r="O495" t="str">
            <v>Invasivo</v>
          </cell>
          <cell r="R495" t="str">
            <v>Semestral</v>
          </cell>
        </row>
        <row r="496">
          <cell r="C496">
            <v>143</v>
          </cell>
          <cell r="D496" t="str">
            <v>2-002681</v>
          </cell>
          <cell r="E496" t="str">
            <v>Monitor Multiparámetros</v>
          </cell>
          <cell r="F496" t="str">
            <v>Traumatología</v>
          </cell>
          <cell r="G496" t="str">
            <v>Traumatología</v>
          </cell>
          <cell r="H496" t="str">
            <v>Pasillo</v>
          </cell>
          <cell r="I496" t="str">
            <v>Adquirido</v>
          </cell>
          <cell r="J496" t="str">
            <v xml:space="preserve">Nihon Kohden </v>
          </cell>
          <cell r="K496" t="str">
            <v>BSM-6301K</v>
          </cell>
          <cell r="L496" t="str">
            <v>01036.</v>
          </cell>
          <cell r="M496">
            <v>2009</v>
          </cell>
          <cell r="N496">
            <v>-6</v>
          </cell>
          <cell r="O496" t="str">
            <v>Invasivo</v>
          </cell>
          <cell r="R496" t="str">
            <v>Semestral</v>
          </cell>
        </row>
        <row r="497">
          <cell r="C497">
            <v>144</v>
          </cell>
          <cell r="D497" t="str">
            <v>2-111918</v>
          </cell>
          <cell r="E497" t="str">
            <v>Monitor Multiparámetros</v>
          </cell>
          <cell r="F497" t="str">
            <v>Hemato Oncología Adulto</v>
          </cell>
          <cell r="G497" t="str">
            <v>Hemato Oncología Adulto</v>
          </cell>
          <cell r="H497" t="str">
            <v>EPB-P5-SA11</v>
          </cell>
          <cell r="I497" t="str">
            <v>Adquirido</v>
          </cell>
          <cell r="J497" t="str">
            <v xml:space="preserve">Nihon Kohden </v>
          </cell>
          <cell r="K497" t="str">
            <v>BSM-6301K</v>
          </cell>
          <cell r="L497" t="str">
            <v>01039</v>
          </cell>
          <cell r="M497">
            <v>2009</v>
          </cell>
          <cell r="N497">
            <v>-6</v>
          </cell>
          <cell r="O497" t="str">
            <v>Invasivo</v>
          </cell>
          <cell r="Q497" t="str">
            <v>Se recomienda reposicion de bateria 12-09-24</v>
          </cell>
          <cell r="R497" t="str">
            <v>Semestral</v>
          </cell>
        </row>
        <row r="498">
          <cell r="C498">
            <v>145</v>
          </cell>
          <cell r="D498" t="str">
            <v>2-111913</v>
          </cell>
          <cell r="E498" t="str">
            <v>Monitor Multiparámetros</v>
          </cell>
          <cell r="F498" t="str">
            <v>Hemato Oncología Adulto</v>
          </cell>
          <cell r="G498" t="str">
            <v>Hemato Oncología Adulto</v>
          </cell>
          <cell r="H498" t="str">
            <v>EPB-P5-SA12</v>
          </cell>
          <cell r="I498" t="str">
            <v>Adquirido</v>
          </cell>
          <cell r="J498" t="str">
            <v xml:space="preserve">Criticare </v>
          </cell>
          <cell r="K498" t="str">
            <v>8100E-S</v>
          </cell>
          <cell r="L498" t="str">
            <v>212726171</v>
          </cell>
          <cell r="M498">
            <v>2012</v>
          </cell>
          <cell r="N498">
            <v>-3</v>
          </cell>
          <cell r="O498" t="str">
            <v>No Invasivo</v>
          </cell>
          <cell r="R498" t="str">
            <v>Semestral</v>
          </cell>
        </row>
        <row r="499">
          <cell r="C499">
            <v>146</v>
          </cell>
          <cell r="D499" t="str">
            <v>2-002869</v>
          </cell>
          <cell r="E499" t="str">
            <v>Monitor Multiparámetros</v>
          </cell>
          <cell r="F499" t="str">
            <v>Hemato Oncología Adulto</v>
          </cell>
          <cell r="G499" t="str">
            <v>Hemato Oncología Adulto</v>
          </cell>
          <cell r="H499" t="str">
            <v>EPB-P5-SA08</v>
          </cell>
          <cell r="I499" t="str">
            <v>Adquirido</v>
          </cell>
          <cell r="J499" t="str">
            <v xml:space="preserve">Nihon Kohden </v>
          </cell>
          <cell r="K499" t="str">
            <v>BSM-6301K</v>
          </cell>
          <cell r="L499" t="str">
            <v>01074</v>
          </cell>
          <cell r="M499">
            <v>2009</v>
          </cell>
          <cell r="N499">
            <v>-6</v>
          </cell>
          <cell r="O499" t="str">
            <v>Invasivo</v>
          </cell>
          <cell r="R499" t="str">
            <v>Semestral</v>
          </cell>
        </row>
        <row r="500">
          <cell r="C500">
            <v>147</v>
          </cell>
          <cell r="D500" t="str">
            <v>2-111945</v>
          </cell>
          <cell r="E500" t="str">
            <v>Monitor Multiparámetros</v>
          </cell>
          <cell r="F500" t="str">
            <v>Hemato Oncología Adulto</v>
          </cell>
          <cell r="G500" t="str">
            <v>Hemato Oncología Adulto</v>
          </cell>
          <cell r="H500" t="str">
            <v>EPB-P5-SA10</v>
          </cell>
          <cell r="I500" t="str">
            <v>Adquirido</v>
          </cell>
          <cell r="J500" t="str">
            <v xml:space="preserve">Nihon Kohden </v>
          </cell>
          <cell r="K500" t="str">
            <v>BSM-6301K</v>
          </cell>
          <cell r="L500" t="str">
            <v>01063</v>
          </cell>
          <cell r="M500">
            <v>2009</v>
          </cell>
          <cell r="N500">
            <v>-6</v>
          </cell>
          <cell r="O500" t="str">
            <v>Invasivo</v>
          </cell>
          <cell r="R500" t="str">
            <v>Semestral</v>
          </cell>
        </row>
        <row r="501">
          <cell r="C501">
            <v>148</v>
          </cell>
          <cell r="D501" t="str">
            <v>2-002849</v>
          </cell>
          <cell r="E501" t="str">
            <v>Monitor Multiparámetros</v>
          </cell>
          <cell r="F501" t="str">
            <v>Hemato Oncología Adulto</v>
          </cell>
          <cell r="G501" t="str">
            <v>Hemato Oncología Adulto</v>
          </cell>
          <cell r="H501" t="str">
            <v>EPB-P5-SA13</v>
          </cell>
          <cell r="I501" t="str">
            <v>Adquirido</v>
          </cell>
          <cell r="J501" t="str">
            <v xml:space="preserve">Nihon Kohden </v>
          </cell>
          <cell r="K501" t="str">
            <v>BSM-6301K</v>
          </cell>
          <cell r="L501" t="str">
            <v>01043</v>
          </cell>
          <cell r="M501">
            <v>2009</v>
          </cell>
          <cell r="N501">
            <v>-6</v>
          </cell>
          <cell r="O501" t="str">
            <v>Invasivo</v>
          </cell>
          <cell r="R501" t="str">
            <v>Semestral</v>
          </cell>
        </row>
        <row r="502">
          <cell r="C502">
            <v>149</v>
          </cell>
          <cell r="D502" t="str">
            <v>2-111950</v>
          </cell>
          <cell r="E502" t="str">
            <v>Monitor Multiparámetros</v>
          </cell>
          <cell r="F502" t="str">
            <v>Quimioterapia Ambulatoria Adulto</v>
          </cell>
          <cell r="G502" t="str">
            <v>QMT Ambulatoria Adulto</v>
          </cell>
          <cell r="H502" t="str">
            <v>Sala de Procedimientos</v>
          </cell>
          <cell r="I502" t="str">
            <v>Adquirido</v>
          </cell>
          <cell r="J502" t="str">
            <v xml:space="preserve">Criticare </v>
          </cell>
          <cell r="K502" t="str">
            <v>8100E-S</v>
          </cell>
          <cell r="L502" t="str">
            <v>212726117</v>
          </cell>
          <cell r="M502">
            <v>2012</v>
          </cell>
          <cell r="N502">
            <v>-3</v>
          </cell>
          <cell r="O502" t="str">
            <v>No Invasivo</v>
          </cell>
          <cell r="R502" t="str">
            <v>Semestral</v>
          </cell>
        </row>
        <row r="503">
          <cell r="C503">
            <v>150</v>
          </cell>
          <cell r="D503" t="str">
            <v>2-013337</v>
          </cell>
          <cell r="E503" t="str">
            <v>Monitor Multiparámetros</v>
          </cell>
          <cell r="F503" t="str">
            <v>Neurocirugía</v>
          </cell>
          <cell r="G503" t="str">
            <v>Neurocirugía</v>
          </cell>
          <cell r="H503" t="str">
            <v>Cama 298-2</v>
          </cell>
          <cell r="I503" t="str">
            <v>Adquirido</v>
          </cell>
          <cell r="J503" t="str">
            <v xml:space="preserve">Drager </v>
          </cell>
          <cell r="K503" t="str">
            <v xml:space="preserve">Infinity Vista XL </v>
          </cell>
          <cell r="L503" t="str">
            <v>6001128079</v>
          </cell>
          <cell r="M503">
            <v>2009</v>
          </cell>
          <cell r="N503">
            <v>-6</v>
          </cell>
          <cell r="O503" t="str">
            <v>Invasivo</v>
          </cell>
          <cell r="R503" t="str">
            <v>Semestral</v>
          </cell>
        </row>
        <row r="504">
          <cell r="C504">
            <v>151</v>
          </cell>
          <cell r="D504" t="str">
            <v>2-013336</v>
          </cell>
          <cell r="E504" t="str">
            <v>Monitor Multiparámetros</v>
          </cell>
          <cell r="F504" t="str">
            <v>Neurocirugía</v>
          </cell>
          <cell r="G504" t="str">
            <v>Neurocirugía</v>
          </cell>
          <cell r="H504" t="str">
            <v>Cama 298-1</v>
          </cell>
          <cell r="I504" t="str">
            <v>Adquirido</v>
          </cell>
          <cell r="J504" t="str">
            <v xml:space="preserve">Drager </v>
          </cell>
          <cell r="K504" t="str">
            <v xml:space="preserve">Infinity Vista XL </v>
          </cell>
          <cell r="L504" t="str">
            <v>6001029471</v>
          </cell>
          <cell r="M504">
            <v>2009</v>
          </cell>
          <cell r="N504">
            <v>-6</v>
          </cell>
          <cell r="O504" t="str">
            <v>Invasivo</v>
          </cell>
          <cell r="R504" t="str">
            <v>Semestral</v>
          </cell>
        </row>
        <row r="505">
          <cell r="C505">
            <v>152</v>
          </cell>
          <cell r="D505" t="str">
            <v>2-013338</v>
          </cell>
          <cell r="E505" t="str">
            <v>Monitor Multiparámetros</v>
          </cell>
          <cell r="F505" t="str">
            <v>Neurocirugía</v>
          </cell>
          <cell r="G505" t="str">
            <v>Neurocirugía</v>
          </cell>
          <cell r="H505" t="str">
            <v>Cama 298-3</v>
          </cell>
          <cell r="I505" t="str">
            <v>Adquirido</v>
          </cell>
          <cell r="J505" t="str">
            <v xml:space="preserve">Drager </v>
          </cell>
          <cell r="K505" t="str">
            <v xml:space="preserve">Infinity Vista XL </v>
          </cell>
          <cell r="L505" t="str">
            <v>6001111685</v>
          </cell>
          <cell r="M505">
            <v>2009</v>
          </cell>
          <cell r="N505">
            <v>-6</v>
          </cell>
          <cell r="O505" t="str">
            <v>Invasivo</v>
          </cell>
          <cell r="Q505" t="str">
            <v>Se recomienda reemplazo de bateria 11-09-24</v>
          </cell>
          <cell r="R505" t="str">
            <v>Semestral</v>
          </cell>
        </row>
        <row r="506">
          <cell r="C506">
            <v>153</v>
          </cell>
          <cell r="D506" t="str">
            <v>2-013335</v>
          </cell>
          <cell r="E506" t="str">
            <v>Monitor Multiparámetros</v>
          </cell>
          <cell r="F506" t="str">
            <v>Neurocirugía</v>
          </cell>
          <cell r="G506" t="str">
            <v>Neurocirugía</v>
          </cell>
          <cell r="H506" t="str">
            <v>Cama 299-1</v>
          </cell>
          <cell r="I506" t="str">
            <v>Adquirido</v>
          </cell>
          <cell r="J506" t="str">
            <v xml:space="preserve">Drager </v>
          </cell>
          <cell r="K506" t="str">
            <v xml:space="preserve">Infinity Vista </v>
          </cell>
          <cell r="L506" t="str">
            <v>6001128275</v>
          </cell>
          <cell r="M506">
            <v>2009</v>
          </cell>
          <cell r="N506">
            <v>-6</v>
          </cell>
          <cell r="O506" t="str">
            <v>Invasivo</v>
          </cell>
          <cell r="Q506" t="str">
            <v>Equipo es dado de baja 24-01-25. Equipo con multiples fallas y su reparacion supera el 50% de un equipo nuevo. Adema tiene su vida util cumplida</v>
          </cell>
          <cell r="R506" t="str">
            <v>Semestral</v>
          </cell>
        </row>
        <row r="507">
          <cell r="C507">
            <v>154</v>
          </cell>
          <cell r="D507" t="str">
            <v>2-013334</v>
          </cell>
          <cell r="E507" t="str">
            <v>Monitor Multiparámetros</v>
          </cell>
          <cell r="F507" t="str">
            <v>Neurocirugía</v>
          </cell>
          <cell r="G507" t="str">
            <v>Neurocirugía</v>
          </cell>
          <cell r="H507" t="str">
            <v>Cama 299-2</v>
          </cell>
          <cell r="I507" t="str">
            <v>Adquirido</v>
          </cell>
          <cell r="J507" t="str">
            <v xml:space="preserve">Drager </v>
          </cell>
          <cell r="K507" t="str">
            <v xml:space="preserve">Infinity Vista </v>
          </cell>
          <cell r="L507" t="str">
            <v>6001123877</v>
          </cell>
          <cell r="M507">
            <v>2009</v>
          </cell>
          <cell r="N507">
            <v>-6</v>
          </cell>
          <cell r="O507" t="str">
            <v>Invasivo</v>
          </cell>
          <cell r="R507" t="str">
            <v>Semestral</v>
          </cell>
        </row>
        <row r="508">
          <cell r="C508">
            <v>155</v>
          </cell>
          <cell r="D508" t="str">
            <v>2-116509</v>
          </cell>
          <cell r="E508" t="str">
            <v>Monitor Multiparámetros</v>
          </cell>
          <cell r="F508" t="str">
            <v>UPC Pediátrica</v>
          </cell>
          <cell r="G508" t="str">
            <v>UTI Pediátrica</v>
          </cell>
          <cell r="H508" t="str">
            <v>Cama 8</v>
          </cell>
          <cell r="I508" t="str">
            <v>Arriendo</v>
          </cell>
          <cell r="J508" t="str">
            <v>SPACELABS HEALTHCARE</v>
          </cell>
          <cell r="K508" t="str">
            <v>XPREZZON</v>
          </cell>
          <cell r="L508" t="str">
            <v>1393-109300</v>
          </cell>
          <cell r="M508">
            <v>2018</v>
          </cell>
          <cell r="N508">
            <v>3</v>
          </cell>
          <cell r="O508" t="str">
            <v>Invasivo</v>
          </cell>
          <cell r="R508" t="str">
            <v>Semestral</v>
          </cell>
        </row>
        <row r="509">
          <cell r="C509">
            <v>156</v>
          </cell>
          <cell r="D509" t="str">
            <v>2-007695</v>
          </cell>
          <cell r="E509" t="str">
            <v>Monitor Multiparámetros</v>
          </cell>
          <cell r="F509" t="str">
            <v>Cirugía Adulto</v>
          </cell>
          <cell r="G509" t="str">
            <v>Cirugia Adulto - Piso 3</v>
          </cell>
          <cell r="H509" t="str">
            <v>EPC</v>
          </cell>
          <cell r="I509" t="str">
            <v>Adquirido</v>
          </cell>
          <cell r="J509" t="str">
            <v xml:space="preserve">Nihon Kohden </v>
          </cell>
          <cell r="K509" t="str">
            <v>BSM-6301K</v>
          </cell>
          <cell r="L509" t="str">
            <v>01041</v>
          </cell>
          <cell r="M509">
            <v>2009</v>
          </cell>
          <cell r="N509">
            <v>-6</v>
          </cell>
          <cell r="O509" t="str">
            <v>Invasivo</v>
          </cell>
          <cell r="R509" t="str">
            <v>Semestral</v>
          </cell>
        </row>
        <row r="510">
          <cell r="C510">
            <v>157</v>
          </cell>
          <cell r="D510" t="str">
            <v>2-003579</v>
          </cell>
          <cell r="E510" t="str">
            <v>Monitor Multiparámetros</v>
          </cell>
          <cell r="F510" t="str">
            <v>Cirugía Adulto</v>
          </cell>
          <cell r="G510" t="str">
            <v>Cirugia Adulto - Piso 3</v>
          </cell>
          <cell r="H510" t="str">
            <v>EPC</v>
          </cell>
          <cell r="I510" t="str">
            <v>Adquirido</v>
          </cell>
          <cell r="J510" t="str">
            <v xml:space="preserve">Nihon Kohden </v>
          </cell>
          <cell r="K510" t="str">
            <v>BSM-6301K</v>
          </cell>
          <cell r="L510" t="str">
            <v>01049</v>
          </cell>
          <cell r="M510">
            <v>2009</v>
          </cell>
          <cell r="N510">
            <v>-6</v>
          </cell>
          <cell r="O510" t="str">
            <v>Invasivo</v>
          </cell>
          <cell r="R510" t="str">
            <v>Semestral</v>
          </cell>
        </row>
        <row r="511">
          <cell r="C511">
            <v>158</v>
          </cell>
          <cell r="D511" t="str">
            <v>2-003577</v>
          </cell>
          <cell r="E511" t="str">
            <v>Monitor Multiparámetros</v>
          </cell>
          <cell r="F511" t="str">
            <v>Cirugía Adulto</v>
          </cell>
          <cell r="G511" t="str">
            <v>Cirugia Adulto - Piso 7</v>
          </cell>
          <cell r="H511" t="str">
            <v>EPC</v>
          </cell>
          <cell r="I511" t="str">
            <v>Adquirido</v>
          </cell>
          <cell r="J511" t="str">
            <v xml:space="preserve">Nihon Kohden </v>
          </cell>
          <cell r="K511" t="str">
            <v>BSM-6301K</v>
          </cell>
          <cell r="L511" t="str">
            <v>01055</v>
          </cell>
          <cell r="M511">
            <v>2009</v>
          </cell>
          <cell r="N511">
            <v>-6</v>
          </cell>
          <cell r="O511" t="str">
            <v>Invasivo</v>
          </cell>
          <cell r="R511" t="str">
            <v>Semestral</v>
          </cell>
        </row>
        <row r="512">
          <cell r="C512">
            <v>159</v>
          </cell>
          <cell r="D512" t="str">
            <v>2-007631</v>
          </cell>
          <cell r="E512" t="str">
            <v>Monitor Multiparámetros</v>
          </cell>
          <cell r="F512" t="str">
            <v>Cirugía Adulto</v>
          </cell>
          <cell r="G512" t="str">
            <v>Cirugia Adulto - Piso 3</v>
          </cell>
          <cell r="H512" t="str">
            <v>EPB</v>
          </cell>
          <cell r="I512" t="str">
            <v>Adquirido</v>
          </cell>
          <cell r="J512" t="str">
            <v xml:space="preserve">Nihon Kohden </v>
          </cell>
          <cell r="K512" t="str">
            <v>BSM-6301K</v>
          </cell>
          <cell r="L512" t="str">
            <v>01057</v>
          </cell>
          <cell r="M512">
            <v>2009</v>
          </cell>
          <cell r="N512">
            <v>-6</v>
          </cell>
          <cell r="O512" t="str">
            <v>Invasivo</v>
          </cell>
          <cell r="R512" t="str">
            <v>Semestral</v>
          </cell>
        </row>
        <row r="513">
          <cell r="C513">
            <v>160</v>
          </cell>
          <cell r="D513" t="str">
            <v>2-007632</v>
          </cell>
          <cell r="E513" t="str">
            <v>Monitor Multiparámetros</v>
          </cell>
          <cell r="F513" t="str">
            <v>Cirugía Adulto</v>
          </cell>
          <cell r="G513" t="str">
            <v>Cirugia Adulto - Piso 3</v>
          </cell>
          <cell r="H513" t="str">
            <v>EPB</v>
          </cell>
          <cell r="I513" t="str">
            <v>Adquirido</v>
          </cell>
          <cell r="J513" t="str">
            <v xml:space="preserve">Nihon Kohden </v>
          </cell>
          <cell r="K513" t="str">
            <v>BSM-6301K</v>
          </cell>
          <cell r="L513" t="str">
            <v>01065</v>
          </cell>
          <cell r="M513">
            <v>2009</v>
          </cell>
          <cell r="N513">
            <v>-6</v>
          </cell>
          <cell r="O513" t="str">
            <v>Invasivo</v>
          </cell>
          <cell r="R513" t="str">
            <v>Semestral</v>
          </cell>
        </row>
        <row r="514">
          <cell r="C514">
            <v>161</v>
          </cell>
          <cell r="D514" t="str">
            <v>2-003601</v>
          </cell>
          <cell r="E514" t="str">
            <v>Monitor Multiparámetros</v>
          </cell>
          <cell r="F514" t="str">
            <v>Cirugía Adulto</v>
          </cell>
          <cell r="G514" t="str">
            <v>Cirugia Adulto - Piso 7</v>
          </cell>
          <cell r="H514" t="str">
            <v>TNB 705</v>
          </cell>
          <cell r="I514" t="str">
            <v>Adquirido</v>
          </cell>
          <cell r="J514" t="str">
            <v xml:space="preserve">Nihon Kohden </v>
          </cell>
          <cell r="K514" t="str">
            <v>BSM-6301K</v>
          </cell>
          <cell r="L514" t="str">
            <v>01032</v>
          </cell>
          <cell r="M514">
            <v>2009</v>
          </cell>
          <cell r="N514">
            <v>-6</v>
          </cell>
          <cell r="O514" t="str">
            <v>Invasivo</v>
          </cell>
          <cell r="R514" t="str">
            <v>Semestral</v>
          </cell>
        </row>
        <row r="515">
          <cell r="C515">
            <v>162</v>
          </cell>
          <cell r="D515" t="str">
            <v>2-112423</v>
          </cell>
          <cell r="E515" t="str">
            <v>Monitor Multiparámetros</v>
          </cell>
          <cell r="F515" t="str">
            <v>Cirugía Adulto</v>
          </cell>
          <cell r="G515" t="str">
            <v>Cirugia Adulto - Piso 7</v>
          </cell>
          <cell r="H515" t="str">
            <v>TNB 709</v>
          </cell>
          <cell r="I515" t="str">
            <v>Adquirido</v>
          </cell>
          <cell r="J515" t="str">
            <v xml:space="preserve">Nihon Kohden </v>
          </cell>
          <cell r="K515" t="str">
            <v>BSM-6301K</v>
          </cell>
          <cell r="L515" t="str">
            <v>01053</v>
          </cell>
          <cell r="M515">
            <v>2009</v>
          </cell>
          <cell r="N515">
            <v>-6</v>
          </cell>
          <cell r="O515" t="str">
            <v>Invasivo</v>
          </cell>
          <cell r="R515" t="str">
            <v>Semestral</v>
          </cell>
        </row>
        <row r="516">
          <cell r="C516">
            <v>163</v>
          </cell>
          <cell r="D516" t="str">
            <v>2-007992</v>
          </cell>
          <cell r="E516" t="str">
            <v>Monitor Multiparámetros</v>
          </cell>
          <cell r="F516" t="str">
            <v>Ginecología</v>
          </cell>
          <cell r="G516" t="str">
            <v>Ginecología</v>
          </cell>
          <cell r="I516" t="str">
            <v>Adquirido</v>
          </cell>
          <cell r="J516" t="str">
            <v xml:space="preserve">Nihon Kohden </v>
          </cell>
          <cell r="K516" t="str">
            <v>BSM-6301K</v>
          </cell>
          <cell r="L516" t="str">
            <v>01034</v>
          </cell>
          <cell r="M516">
            <v>2009</v>
          </cell>
          <cell r="N516">
            <v>-6</v>
          </cell>
          <cell r="O516" t="str">
            <v>Invasivo</v>
          </cell>
          <cell r="R516" t="str">
            <v>Semestral</v>
          </cell>
        </row>
        <row r="517">
          <cell r="C517">
            <v>164</v>
          </cell>
          <cell r="D517" t="str">
            <v>2-007991</v>
          </cell>
          <cell r="E517" t="str">
            <v>Monitor Multiparámetros</v>
          </cell>
          <cell r="F517" t="str">
            <v>Ginecología</v>
          </cell>
          <cell r="G517" t="str">
            <v>Ginecología</v>
          </cell>
          <cell r="I517" t="str">
            <v>Adquirido</v>
          </cell>
          <cell r="J517" t="str">
            <v xml:space="preserve">Nihon Kohden </v>
          </cell>
          <cell r="K517" t="str">
            <v>BSM-6301K</v>
          </cell>
          <cell r="L517" t="str">
            <v>01050</v>
          </cell>
          <cell r="M517">
            <v>2009</v>
          </cell>
          <cell r="N517">
            <v>-6</v>
          </cell>
          <cell r="O517" t="str">
            <v>Invasivo</v>
          </cell>
          <cell r="R517" t="str">
            <v>Semestral</v>
          </cell>
        </row>
        <row r="518">
          <cell r="C518">
            <v>165</v>
          </cell>
          <cell r="D518" t="str">
            <v>2-007993</v>
          </cell>
          <cell r="E518" t="str">
            <v>Monitor Multiparámetros</v>
          </cell>
          <cell r="F518" t="str">
            <v>Ginecología</v>
          </cell>
          <cell r="G518" t="str">
            <v>Ginecología</v>
          </cell>
          <cell r="I518" t="str">
            <v>Adquirido</v>
          </cell>
          <cell r="J518" t="str">
            <v xml:space="preserve">Nihon Kohden </v>
          </cell>
          <cell r="K518" t="str">
            <v>BSM-6301K</v>
          </cell>
          <cell r="L518" t="str">
            <v>01038</v>
          </cell>
          <cell r="M518">
            <v>2009</v>
          </cell>
          <cell r="N518">
            <v>-6</v>
          </cell>
          <cell r="O518" t="str">
            <v>Invasivo</v>
          </cell>
          <cell r="R518" t="str">
            <v>Semestral</v>
          </cell>
        </row>
        <row r="519">
          <cell r="C519">
            <v>0</v>
          </cell>
          <cell r="E519">
            <v>0</v>
          </cell>
          <cell r="F519">
            <v>0</v>
          </cell>
          <cell r="I519">
            <v>0</v>
          </cell>
          <cell r="J519">
            <v>0</v>
          </cell>
          <cell r="K519">
            <v>0</v>
          </cell>
          <cell r="N519" t="str">
            <v>Disponible</v>
          </cell>
        </row>
        <row r="520">
          <cell r="C520">
            <v>167</v>
          </cell>
          <cell r="D520" t="str">
            <v>2-022179</v>
          </cell>
          <cell r="E520" t="str">
            <v>Monitor Multiparámetros</v>
          </cell>
          <cell r="F520" t="str">
            <v>Quimioterapia Ambulatoria Adulto</v>
          </cell>
          <cell r="G520" t="str">
            <v>QMT Ambulatoria Adulto</v>
          </cell>
          <cell r="H520" t="str">
            <v>EPC-P2</v>
          </cell>
          <cell r="I520" t="str">
            <v>Adquirido</v>
          </cell>
          <cell r="J520" t="str">
            <v xml:space="preserve">Nihon Kohden </v>
          </cell>
          <cell r="K520" t="str">
            <v>BSM-6301K</v>
          </cell>
          <cell r="L520" t="str">
            <v>01072</v>
          </cell>
          <cell r="M520">
            <v>2009</v>
          </cell>
          <cell r="N520">
            <v>-6</v>
          </cell>
          <cell r="O520" t="str">
            <v>Invasivo</v>
          </cell>
          <cell r="R520" t="str">
            <v>Semestral</v>
          </cell>
        </row>
        <row r="521">
          <cell r="C521">
            <v>168</v>
          </cell>
          <cell r="D521" t="str">
            <v>2-004857</v>
          </cell>
          <cell r="E521" t="str">
            <v>Monitor Multiparámetros</v>
          </cell>
          <cell r="F521" t="str">
            <v>Pediatría</v>
          </cell>
          <cell r="G521" t="str">
            <v>Pediatría Lactantes</v>
          </cell>
          <cell r="H521" t="str">
            <v>Segunda infancia</v>
          </cell>
          <cell r="I521" t="str">
            <v>Adquirido</v>
          </cell>
          <cell r="J521" t="str">
            <v xml:space="preserve">Criticare </v>
          </cell>
          <cell r="K521" t="str">
            <v>8100E-S</v>
          </cell>
          <cell r="L521" t="str">
            <v>212726139</v>
          </cell>
          <cell r="M521">
            <v>2012</v>
          </cell>
          <cell r="N521">
            <v>-3</v>
          </cell>
          <cell r="O521" t="str">
            <v>No Invasivo</v>
          </cell>
          <cell r="Q521" t="str">
            <v>Se recomienda cambio de bater√≠a 15-01-25</v>
          </cell>
          <cell r="R521" t="str">
            <v>Semestral</v>
          </cell>
        </row>
        <row r="522">
          <cell r="C522">
            <v>169</v>
          </cell>
          <cell r="D522" t="str">
            <v>2-014911</v>
          </cell>
          <cell r="E522" t="str">
            <v>Monitor Multiparámetros</v>
          </cell>
          <cell r="F522" t="str">
            <v>Pediatría</v>
          </cell>
          <cell r="G522" t="str">
            <v>Pediatría Lactantes</v>
          </cell>
          <cell r="H522" t="str">
            <v>Lactantes</v>
          </cell>
          <cell r="I522" t="str">
            <v>Adquirido</v>
          </cell>
          <cell r="J522" t="str">
            <v xml:space="preserve">Criticare </v>
          </cell>
          <cell r="K522" t="str">
            <v>8100E-S</v>
          </cell>
          <cell r="L522" t="str">
            <v>212726134</v>
          </cell>
          <cell r="M522">
            <v>2012</v>
          </cell>
          <cell r="N522">
            <v>-3</v>
          </cell>
          <cell r="O522" t="str">
            <v>No Invasivo</v>
          </cell>
          <cell r="Q522" t="str">
            <v>Se recomienda cambio de bater√≠a 15-01-25</v>
          </cell>
          <cell r="R522" t="str">
            <v>Semestral</v>
          </cell>
        </row>
        <row r="523">
          <cell r="C523">
            <v>170</v>
          </cell>
          <cell r="D523" t="str">
            <v>2-014718</v>
          </cell>
          <cell r="E523" t="str">
            <v>Monitor Multiparámetros</v>
          </cell>
          <cell r="F523" t="str">
            <v>Pediatría</v>
          </cell>
          <cell r="G523" t="str">
            <v>Pediatría Segunda Infancia</v>
          </cell>
          <cell r="H523" t="str">
            <v>Segunda infancia</v>
          </cell>
          <cell r="I523" t="str">
            <v>Adquirido</v>
          </cell>
          <cell r="J523" t="str">
            <v xml:space="preserve">Nihon Kohden </v>
          </cell>
          <cell r="K523" t="str">
            <v>BSM-6301K</v>
          </cell>
          <cell r="L523" t="str">
            <v>01062</v>
          </cell>
          <cell r="M523">
            <v>2009</v>
          </cell>
          <cell r="N523">
            <v>-6</v>
          </cell>
          <cell r="O523" t="str">
            <v>Invasivo</v>
          </cell>
          <cell r="R523" t="str">
            <v>Semestral</v>
          </cell>
        </row>
        <row r="524">
          <cell r="C524">
            <v>171</v>
          </cell>
          <cell r="D524" t="str">
            <v>2-004772</v>
          </cell>
          <cell r="E524" t="str">
            <v>Monitor Multiparámetros</v>
          </cell>
          <cell r="F524" t="str">
            <v>Pediatría</v>
          </cell>
          <cell r="G524" t="str">
            <v>Pediatría Oncológica</v>
          </cell>
          <cell r="H524" t="str">
            <v>Oncología Pediátrica</v>
          </cell>
          <cell r="I524" t="str">
            <v>Adquirido</v>
          </cell>
          <cell r="J524" t="str">
            <v xml:space="preserve">Criticare </v>
          </cell>
          <cell r="K524" t="str">
            <v>8100E-S</v>
          </cell>
          <cell r="L524" t="str">
            <v>212726126</v>
          </cell>
          <cell r="M524">
            <v>2012</v>
          </cell>
          <cell r="N524">
            <v>-3</v>
          </cell>
          <cell r="O524" t="str">
            <v>No Invasivo</v>
          </cell>
          <cell r="R524" t="str">
            <v>Semestral</v>
          </cell>
        </row>
        <row r="525">
          <cell r="C525">
            <v>172</v>
          </cell>
          <cell r="D525" t="str">
            <v>2-014981</v>
          </cell>
          <cell r="E525" t="str">
            <v>Monitor Multiparámetros</v>
          </cell>
          <cell r="F525" t="str">
            <v>Cirugía Infantil</v>
          </cell>
          <cell r="G525" t="str">
            <v>Cirugía Infantil</v>
          </cell>
          <cell r="H525" t="str">
            <v>Cirugía infantil 624-628</v>
          </cell>
          <cell r="I525" t="str">
            <v>Adquirido</v>
          </cell>
          <cell r="J525" t="str">
            <v xml:space="preserve">Nihon Kohden </v>
          </cell>
          <cell r="K525" t="str">
            <v>BSM-6301K</v>
          </cell>
          <cell r="L525" t="str">
            <v>01030</v>
          </cell>
          <cell r="M525">
            <v>2009</v>
          </cell>
          <cell r="N525">
            <v>-6</v>
          </cell>
          <cell r="O525" t="str">
            <v>Invasivo</v>
          </cell>
          <cell r="R525" t="str">
            <v>Semestral</v>
          </cell>
        </row>
        <row r="526">
          <cell r="C526">
            <v>173</v>
          </cell>
          <cell r="D526" t="str">
            <v>2-004356</v>
          </cell>
          <cell r="E526" t="str">
            <v>Monitor Multiparámetros</v>
          </cell>
          <cell r="F526" t="str">
            <v>Medicina</v>
          </cell>
          <cell r="G526" t="str">
            <v>Medicina interna - 5to piso</v>
          </cell>
          <cell r="H526" t="str">
            <v>509-2</v>
          </cell>
          <cell r="I526" t="str">
            <v>Adquirido</v>
          </cell>
          <cell r="J526" t="str">
            <v xml:space="preserve">Nihon Kohden </v>
          </cell>
          <cell r="K526" t="str">
            <v>BSM-6301K</v>
          </cell>
          <cell r="L526" t="str">
            <v>01064</v>
          </cell>
          <cell r="M526">
            <v>2009</v>
          </cell>
          <cell r="N526">
            <v>-6</v>
          </cell>
          <cell r="O526" t="str">
            <v>Invasivo</v>
          </cell>
          <cell r="R526" t="str">
            <v>Semestral</v>
          </cell>
        </row>
        <row r="527">
          <cell r="C527">
            <v>174</v>
          </cell>
          <cell r="D527" t="str">
            <v>2-008498</v>
          </cell>
          <cell r="E527" t="str">
            <v>Monitor Multiparámetros</v>
          </cell>
          <cell r="F527" t="str">
            <v>Quimioterapia Ambulatoria Adulto</v>
          </cell>
          <cell r="G527" t="str">
            <v>QMT Ambulatoria Adulto</v>
          </cell>
          <cell r="H527" t="str">
            <v>EPC-P2</v>
          </cell>
          <cell r="I527" t="str">
            <v>Adquirido</v>
          </cell>
          <cell r="J527" t="str">
            <v xml:space="preserve">Nihon Kohden </v>
          </cell>
          <cell r="K527" t="str">
            <v>BSM-6301K</v>
          </cell>
          <cell r="L527" t="str">
            <v>01056</v>
          </cell>
          <cell r="M527">
            <v>2009</v>
          </cell>
          <cell r="N527">
            <v>-6</v>
          </cell>
          <cell r="O527" t="str">
            <v>Invasivo</v>
          </cell>
          <cell r="R527" t="str">
            <v>Semestral</v>
          </cell>
        </row>
        <row r="528">
          <cell r="C528">
            <v>175</v>
          </cell>
          <cell r="D528" t="str">
            <v>2-008452</v>
          </cell>
          <cell r="E528" t="str">
            <v>Monitor Multiparámetros</v>
          </cell>
          <cell r="F528" t="str">
            <v>Medicina</v>
          </cell>
          <cell r="G528" t="str">
            <v>Medicina interna - 5to piso</v>
          </cell>
          <cell r="H528" t="str">
            <v>524-3</v>
          </cell>
          <cell r="I528" t="str">
            <v>Adquirido</v>
          </cell>
          <cell r="J528" t="str">
            <v xml:space="preserve">Nihon Kohden </v>
          </cell>
          <cell r="K528" t="str">
            <v>BSM-6301K</v>
          </cell>
          <cell r="L528" t="str">
            <v>01073</v>
          </cell>
          <cell r="M528">
            <v>2009</v>
          </cell>
          <cell r="N528">
            <v>-6</v>
          </cell>
          <cell r="O528" t="str">
            <v>Invasivo</v>
          </cell>
          <cell r="R528" t="str">
            <v>Semestral</v>
          </cell>
        </row>
        <row r="529">
          <cell r="C529">
            <v>176</v>
          </cell>
          <cell r="D529" t="str">
            <v>2-008450</v>
          </cell>
          <cell r="E529" t="str">
            <v>Monitor Multiparámetros</v>
          </cell>
          <cell r="F529" t="str">
            <v>Medicina</v>
          </cell>
          <cell r="G529" t="str">
            <v>Medicina interna - 5to piso</v>
          </cell>
          <cell r="H529" t="str">
            <v>596-1</v>
          </cell>
          <cell r="I529" t="str">
            <v>Adquirido</v>
          </cell>
          <cell r="J529" t="str">
            <v xml:space="preserve">Nihon Kohden </v>
          </cell>
          <cell r="K529" t="str">
            <v>BSM-6301K</v>
          </cell>
          <cell r="L529" t="str">
            <v>01061</v>
          </cell>
          <cell r="M529">
            <v>2009</v>
          </cell>
          <cell r="N529">
            <v>-6</v>
          </cell>
          <cell r="O529" t="str">
            <v>Invasivo</v>
          </cell>
          <cell r="Q529" t="str">
            <v>Mantencicón preventiva, equipo operativo</v>
          </cell>
          <cell r="R529" t="str">
            <v>Semestral</v>
          </cell>
        </row>
        <row r="530">
          <cell r="C530">
            <v>177</v>
          </cell>
          <cell r="D530" t="str">
            <v>2-008659</v>
          </cell>
          <cell r="E530" t="str">
            <v>Monitor Multiparámetros</v>
          </cell>
          <cell r="F530" t="str">
            <v>SAMU</v>
          </cell>
          <cell r="G530" t="str">
            <v>SAMU</v>
          </cell>
          <cell r="H530" t="str">
            <v>Base 1</v>
          </cell>
          <cell r="I530" t="str">
            <v>Adquirido</v>
          </cell>
          <cell r="J530" t="str">
            <v xml:space="preserve">Nihon Kohden </v>
          </cell>
          <cell r="K530" t="str">
            <v>BSM-6301K</v>
          </cell>
          <cell r="L530" t="str">
            <v>01048</v>
          </cell>
          <cell r="M530">
            <v>2009</v>
          </cell>
          <cell r="N530">
            <v>-6</v>
          </cell>
          <cell r="O530" t="str">
            <v>Invasivo</v>
          </cell>
          <cell r="R530" t="str">
            <v>Semestral</v>
          </cell>
        </row>
        <row r="531">
          <cell r="C531">
            <v>178</v>
          </cell>
          <cell r="D531" t="str">
            <v>2-008465</v>
          </cell>
          <cell r="E531" t="str">
            <v>Monitor Multiparámetros</v>
          </cell>
          <cell r="F531" t="str">
            <v>SAMU</v>
          </cell>
          <cell r="G531" t="str">
            <v>SAMU</v>
          </cell>
          <cell r="H531" t="str">
            <v>Base 13</v>
          </cell>
          <cell r="I531" t="str">
            <v>Adquirido</v>
          </cell>
          <cell r="J531" t="str">
            <v xml:space="preserve">Nihon Kohden </v>
          </cell>
          <cell r="K531" t="str">
            <v>BSM-6301K</v>
          </cell>
          <cell r="L531" t="str">
            <v>01040</v>
          </cell>
          <cell r="M531">
            <v>2009</v>
          </cell>
          <cell r="N531">
            <v>-6</v>
          </cell>
          <cell r="O531" t="str">
            <v>Invasivo</v>
          </cell>
          <cell r="Q531" t="str">
            <v>Llega equipo reparado servicio 10-12-24.</v>
          </cell>
          <cell r="R531" t="str">
            <v>Semestral</v>
          </cell>
        </row>
        <row r="532">
          <cell r="C532">
            <v>179</v>
          </cell>
          <cell r="D532" t="str">
            <v>2-008497</v>
          </cell>
          <cell r="E532" t="str">
            <v>Monitor Multiparámetros</v>
          </cell>
          <cell r="F532" t="str">
            <v>Medicina (Prestado a medicina cardiovascular)</v>
          </cell>
          <cell r="G532" t="str">
            <v>Medicina cardiovascular</v>
          </cell>
          <cell r="H532" t="str">
            <v>514-3</v>
          </cell>
          <cell r="I532" t="str">
            <v>Adquirido</v>
          </cell>
          <cell r="J532" t="str">
            <v xml:space="preserve">Nihon Kohden </v>
          </cell>
          <cell r="K532" t="str">
            <v>BSM-6301K</v>
          </cell>
          <cell r="L532" t="str">
            <v>01068</v>
          </cell>
          <cell r="M532">
            <v>2009</v>
          </cell>
          <cell r="N532">
            <v>-6</v>
          </cell>
          <cell r="O532" t="str">
            <v>Invasivo</v>
          </cell>
          <cell r="Q532" t="str">
            <v>trazabilidad.</v>
          </cell>
          <cell r="R532" t="str">
            <v>Semestral</v>
          </cell>
        </row>
        <row r="533">
          <cell r="C533">
            <v>180</v>
          </cell>
          <cell r="D533" t="str">
            <v>2-004583</v>
          </cell>
          <cell r="E533" t="str">
            <v>Monitor Multiparámetros</v>
          </cell>
          <cell r="F533" t="str">
            <v>Medicina</v>
          </cell>
          <cell r="G533" t="str">
            <v>Medicina interna - 5to piso</v>
          </cell>
          <cell r="H533" t="str">
            <v>511-1</v>
          </cell>
          <cell r="I533" t="str">
            <v>Adquirido</v>
          </cell>
          <cell r="J533" t="str">
            <v xml:space="preserve">Nihon Kohden </v>
          </cell>
          <cell r="K533" t="str">
            <v>BSM-6301K</v>
          </cell>
          <cell r="L533" t="str">
            <v>01067</v>
          </cell>
          <cell r="M533">
            <v>2009</v>
          </cell>
          <cell r="N533">
            <v>-6</v>
          </cell>
          <cell r="O533" t="str">
            <v>Invasivo</v>
          </cell>
          <cell r="R533" t="str">
            <v>Semestral</v>
          </cell>
        </row>
        <row r="534">
          <cell r="C534">
            <v>181</v>
          </cell>
          <cell r="D534" t="str">
            <v>2-008485</v>
          </cell>
          <cell r="E534" t="str">
            <v>Monitor Multiparámetros</v>
          </cell>
          <cell r="F534" t="str">
            <v>Medicina</v>
          </cell>
          <cell r="G534" t="str">
            <v>Medicina interna - 5to piso</v>
          </cell>
          <cell r="H534" t="str">
            <v>529-1</v>
          </cell>
          <cell r="I534" t="str">
            <v>Adquirido</v>
          </cell>
          <cell r="J534" t="str">
            <v xml:space="preserve">Nihon Kohden </v>
          </cell>
          <cell r="K534" t="str">
            <v>BSM-6301K</v>
          </cell>
          <cell r="L534" t="str">
            <v>01042</v>
          </cell>
          <cell r="M534">
            <v>2009</v>
          </cell>
          <cell r="N534">
            <v>-6</v>
          </cell>
          <cell r="O534" t="str">
            <v>Invasivo</v>
          </cell>
          <cell r="R534" t="str">
            <v>Semestral</v>
          </cell>
        </row>
        <row r="535">
          <cell r="C535">
            <v>182</v>
          </cell>
          <cell r="D535" t="str">
            <v>2-004503</v>
          </cell>
          <cell r="E535" t="str">
            <v>Monitor Multiparámetros</v>
          </cell>
          <cell r="F535" t="str">
            <v>Medicina (Prestado a medicina cardiovascular)</v>
          </cell>
          <cell r="G535" t="str">
            <v>Medicina cardiovascular</v>
          </cell>
          <cell r="H535" t="str">
            <v>517-2</v>
          </cell>
          <cell r="I535" t="str">
            <v>Adquirido</v>
          </cell>
          <cell r="J535" t="str">
            <v xml:space="preserve">Nihon Kohden </v>
          </cell>
          <cell r="K535" t="str">
            <v>BSM-6301K</v>
          </cell>
          <cell r="L535" t="str">
            <v>01058</v>
          </cell>
          <cell r="M535">
            <v>2009</v>
          </cell>
          <cell r="N535">
            <v>-6</v>
          </cell>
          <cell r="O535" t="str">
            <v>Invasivo</v>
          </cell>
          <cell r="Q535" t="str">
            <v>trazabilidad</v>
          </cell>
          <cell r="R535" t="str">
            <v>Semestral</v>
          </cell>
        </row>
        <row r="536">
          <cell r="C536">
            <v>183</v>
          </cell>
          <cell r="D536" t="str">
            <v>2-004584</v>
          </cell>
          <cell r="E536" t="str">
            <v>Monitor Multiparámetros</v>
          </cell>
          <cell r="F536" t="str">
            <v>Medicina</v>
          </cell>
          <cell r="G536" t="str">
            <v>Medicina interna - 5to piso</v>
          </cell>
          <cell r="H536" t="str">
            <v>526-3</v>
          </cell>
          <cell r="I536" t="str">
            <v>Adquirido</v>
          </cell>
          <cell r="J536" t="str">
            <v xml:space="preserve">Nihon Kohden </v>
          </cell>
          <cell r="K536" t="str">
            <v>BSM-6301K</v>
          </cell>
          <cell r="L536" t="str">
            <v>01045</v>
          </cell>
          <cell r="M536">
            <v>2009</v>
          </cell>
          <cell r="N536">
            <v>-6</v>
          </cell>
          <cell r="O536" t="str">
            <v>Invasivo</v>
          </cell>
          <cell r="Q536" t="str">
            <v>Equipo eniado a servicio tecnico por tito millapan numero de envio 162 y fecha de envio 07 del 08 del 20205.
Motivo: pantalla de monitor no enciende esto producto de golpe además la carcasa se encuentra dañada. ST</v>
          </cell>
          <cell r="R536" t="str">
            <v>Semestral</v>
          </cell>
        </row>
        <row r="537">
          <cell r="C537">
            <v>184</v>
          </cell>
          <cell r="D537" t="str">
            <v>2-116511</v>
          </cell>
          <cell r="E537" t="str">
            <v>Monitor Multiparámetros</v>
          </cell>
          <cell r="F537" t="str">
            <v>UPC Pediátrica</v>
          </cell>
          <cell r="G537" t="str">
            <v>UTI Pediátrica</v>
          </cell>
          <cell r="H537" t="str">
            <v>Cama 9</v>
          </cell>
          <cell r="I537" t="str">
            <v>Arriendo</v>
          </cell>
          <cell r="J537" t="str">
            <v>SPACELABS HEALTHCARE</v>
          </cell>
          <cell r="K537" t="str">
            <v>XPREZZON</v>
          </cell>
          <cell r="L537" t="str">
            <v>1393-109309</v>
          </cell>
          <cell r="M537">
            <v>2018</v>
          </cell>
          <cell r="N537">
            <v>3</v>
          </cell>
          <cell r="O537" t="str">
            <v>Invasivo</v>
          </cell>
          <cell r="R537" t="str">
            <v>Semestral</v>
          </cell>
        </row>
        <row r="538">
          <cell r="C538">
            <v>185</v>
          </cell>
          <cell r="D538" t="str">
            <v>2-008451</v>
          </cell>
          <cell r="E538" t="str">
            <v>Monitor Multiparámetros</v>
          </cell>
          <cell r="F538" t="str">
            <v>CDT</v>
          </cell>
          <cell r="G538" t="str">
            <v>CDT-P1</v>
          </cell>
          <cell r="H538" t="str">
            <v>Pabellón Procedimiento</v>
          </cell>
          <cell r="I538" t="str">
            <v>Adquirido</v>
          </cell>
          <cell r="J538" t="str">
            <v xml:space="preserve">Nihon Kohden </v>
          </cell>
          <cell r="K538" t="str">
            <v>BSM-6301K</v>
          </cell>
          <cell r="L538" t="str">
            <v>01029</v>
          </cell>
          <cell r="M538">
            <v>2009</v>
          </cell>
          <cell r="N538">
            <v>-6</v>
          </cell>
          <cell r="O538" t="str">
            <v>Invasivo</v>
          </cell>
          <cell r="R538" t="str">
            <v>Semestral</v>
          </cell>
        </row>
        <row r="539">
          <cell r="C539">
            <v>186</v>
          </cell>
          <cell r="D539" t="str">
            <v>2-116513</v>
          </cell>
          <cell r="E539" t="str">
            <v>Monitor Multiparámetros</v>
          </cell>
          <cell r="F539" t="str">
            <v>UPC Pediátrica</v>
          </cell>
          <cell r="G539" t="str">
            <v>UTI Pediátrica</v>
          </cell>
          <cell r="H539" t="str">
            <v>Cama 10</v>
          </cell>
          <cell r="I539" t="str">
            <v>Arriendo</v>
          </cell>
          <cell r="J539" t="str">
            <v>SPACELABS HEALTHCARE</v>
          </cell>
          <cell r="K539" t="str">
            <v>XPREZZON</v>
          </cell>
          <cell r="L539" t="str">
            <v>1393-109310</v>
          </cell>
          <cell r="M539">
            <v>2018</v>
          </cell>
          <cell r="N539">
            <v>3</v>
          </cell>
          <cell r="O539" t="str">
            <v>Invasivo</v>
          </cell>
          <cell r="R539" t="str">
            <v>Semestral</v>
          </cell>
        </row>
        <row r="540">
          <cell r="C540">
            <v>187</v>
          </cell>
          <cell r="D540" t="str">
            <v>2-008466</v>
          </cell>
          <cell r="E540" t="str">
            <v>Monitor Multiparámetros</v>
          </cell>
          <cell r="F540" t="str">
            <v>Medicina</v>
          </cell>
          <cell r="G540" t="str">
            <v>Medicina interna - 5to piso</v>
          </cell>
          <cell r="H540" t="str">
            <v>510-1</v>
          </cell>
          <cell r="I540" t="str">
            <v>Adquirido</v>
          </cell>
          <cell r="J540" t="str">
            <v xml:space="preserve">Nihon Kohden </v>
          </cell>
          <cell r="K540" t="str">
            <v>BSM-6301K</v>
          </cell>
          <cell r="L540" t="str">
            <v>01069</v>
          </cell>
          <cell r="M540">
            <v>2009</v>
          </cell>
          <cell r="N540">
            <v>-6</v>
          </cell>
          <cell r="O540" t="str">
            <v>Invasivo</v>
          </cell>
          <cell r="R540" t="str">
            <v>Semestral</v>
          </cell>
        </row>
        <row r="541">
          <cell r="C541">
            <v>188</v>
          </cell>
          <cell r="D541" t="str">
            <v>2-121189</v>
          </cell>
          <cell r="E541" t="str">
            <v>Monitor Multiparámetros</v>
          </cell>
          <cell r="F541" t="str">
            <v>Medicina</v>
          </cell>
          <cell r="G541" t="str">
            <v>Medicina interna - 5to piso</v>
          </cell>
          <cell r="H541" t="str">
            <v>503-1</v>
          </cell>
          <cell r="I541" t="str">
            <v>Préstamo MINSAL</v>
          </cell>
          <cell r="J541" t="str">
            <v xml:space="preserve">Nihon Kohden </v>
          </cell>
          <cell r="K541" t="str">
            <v>BSM-3562K</v>
          </cell>
          <cell r="L541" t="str">
            <v>29789</v>
          </cell>
          <cell r="M541">
            <v>2021</v>
          </cell>
          <cell r="N541">
            <v>6</v>
          </cell>
          <cell r="O541" t="str">
            <v>Invasivo</v>
          </cell>
          <cell r="R541" t="str">
            <v>Semestral</v>
          </cell>
        </row>
        <row r="542">
          <cell r="C542">
            <v>189</v>
          </cell>
          <cell r="D542" t="str">
            <v>2-008660</v>
          </cell>
          <cell r="E542" t="str">
            <v>Monitor Multiparámetros</v>
          </cell>
          <cell r="F542" t="str">
            <v>Medicina</v>
          </cell>
          <cell r="G542" t="str">
            <v>Medicina interna - 5to piso</v>
          </cell>
          <cell r="H542" t="str">
            <v>511-2</v>
          </cell>
          <cell r="I542" t="str">
            <v>Adquirido</v>
          </cell>
          <cell r="J542" t="str">
            <v xml:space="preserve">Nihon Kohden </v>
          </cell>
          <cell r="K542" t="str">
            <v>BSM-6301K</v>
          </cell>
          <cell r="L542" t="str">
            <v>01054</v>
          </cell>
          <cell r="M542">
            <v>2009</v>
          </cell>
          <cell r="N542">
            <v>-6</v>
          </cell>
          <cell r="O542" t="str">
            <v>Invasivo</v>
          </cell>
          <cell r="R542" t="str">
            <v>Semestral</v>
          </cell>
        </row>
        <row r="543">
          <cell r="C543">
            <v>190</v>
          </cell>
          <cell r="D543" t="str">
            <v>2-116512</v>
          </cell>
          <cell r="E543" t="str">
            <v>Monitor Multiparámetros</v>
          </cell>
          <cell r="F543" t="str">
            <v>UPC Pediátrica</v>
          </cell>
          <cell r="G543" t="str">
            <v>UTI Pediátrica</v>
          </cell>
          <cell r="H543" t="str">
            <v>Cama 11</v>
          </cell>
          <cell r="I543" t="str">
            <v>Arriendo</v>
          </cell>
          <cell r="J543" t="str">
            <v>SPACELABS HEALTHCARE</v>
          </cell>
          <cell r="K543" t="str">
            <v>XPREZZON</v>
          </cell>
          <cell r="L543" t="str">
            <v>1393-109301</v>
          </cell>
          <cell r="M543">
            <v>2018</v>
          </cell>
          <cell r="N543">
            <v>3</v>
          </cell>
          <cell r="O543" t="str">
            <v>Invasivo</v>
          </cell>
          <cell r="R543" t="str">
            <v>Semestral</v>
          </cell>
        </row>
        <row r="544">
          <cell r="C544">
            <v>191</v>
          </cell>
          <cell r="D544" t="str">
            <v>2-112424</v>
          </cell>
          <cell r="E544" t="str">
            <v>Monitor Multiparámetros</v>
          </cell>
          <cell r="F544" t="str">
            <v>Cirugía Adulto</v>
          </cell>
          <cell r="G544" t="str">
            <v>Cirugia Adulto - Piso 3</v>
          </cell>
          <cell r="H544" t="str">
            <v>EPC (Clinica)</v>
          </cell>
          <cell r="I544" t="str">
            <v>Adquirido</v>
          </cell>
          <cell r="J544" t="str">
            <v xml:space="preserve">Nihon Kohden </v>
          </cell>
          <cell r="K544" t="str">
            <v>BSM-2351K</v>
          </cell>
          <cell r="L544" t="str">
            <v>03643</v>
          </cell>
          <cell r="M544">
            <v>2007</v>
          </cell>
          <cell r="N544">
            <v>-8</v>
          </cell>
          <cell r="O544" t="str">
            <v>No Invasivo</v>
          </cell>
          <cell r="Q544" t="str">
            <v>Equipo es recibido desde servicio tecnico</v>
          </cell>
          <cell r="R544" t="str">
            <v>Semestral</v>
          </cell>
        </row>
        <row r="545">
          <cell r="C545">
            <v>192</v>
          </cell>
          <cell r="D545" t="str">
            <v>2-112501</v>
          </cell>
          <cell r="E545" t="str">
            <v>Monitor Multiparámetros</v>
          </cell>
          <cell r="F545" t="str">
            <v>Traumatología</v>
          </cell>
          <cell r="G545" t="str">
            <v>Traumatología</v>
          </cell>
          <cell r="H545" t="str">
            <v>Cirugía Trauma</v>
          </cell>
          <cell r="I545" t="str">
            <v>Adquirido</v>
          </cell>
          <cell r="J545" t="str">
            <v xml:space="preserve">Nihon Kohden </v>
          </cell>
          <cell r="K545" t="str">
            <v>BSM-6301K</v>
          </cell>
          <cell r="L545" t="str">
            <v>01052.</v>
          </cell>
          <cell r="M545">
            <v>2009</v>
          </cell>
          <cell r="N545">
            <v>-6</v>
          </cell>
          <cell r="O545" t="str">
            <v>Invasivo</v>
          </cell>
          <cell r="Q545" t="str">
            <v>Falta tapa de bateria 12-09-24</v>
          </cell>
          <cell r="R545" t="str">
            <v>Semestral</v>
          </cell>
        </row>
        <row r="546">
          <cell r="C546">
            <v>193</v>
          </cell>
          <cell r="D546" t="str">
            <v>2-012781</v>
          </cell>
          <cell r="E546" t="str">
            <v>Monitor Multiparámetros</v>
          </cell>
          <cell r="F546" t="str">
            <v>Traumatología</v>
          </cell>
          <cell r="G546" t="str">
            <v>Traumatología</v>
          </cell>
          <cell r="H546" t="str">
            <v>Cirugía Trauma</v>
          </cell>
          <cell r="I546" t="str">
            <v>Adquirido</v>
          </cell>
          <cell r="J546" t="str">
            <v xml:space="preserve">Nihon Kohden </v>
          </cell>
          <cell r="K546" t="str">
            <v>BSM-6301K</v>
          </cell>
          <cell r="L546" t="str">
            <v>01046.</v>
          </cell>
          <cell r="M546">
            <v>2009</v>
          </cell>
          <cell r="N546">
            <v>-6</v>
          </cell>
          <cell r="O546" t="str">
            <v>Invasivo</v>
          </cell>
          <cell r="R546" t="str">
            <v>Semestral</v>
          </cell>
        </row>
        <row r="547">
          <cell r="C547">
            <v>194</v>
          </cell>
          <cell r="D547" t="str">
            <v>2-003578</v>
          </cell>
          <cell r="E547" t="str">
            <v>Monitor Multiparámetros</v>
          </cell>
          <cell r="F547" t="str">
            <v>Cirugía Adulto</v>
          </cell>
          <cell r="G547" t="str">
            <v>Cirugia Adulto - Piso 3</v>
          </cell>
          <cell r="H547" t="str">
            <v>EPB</v>
          </cell>
          <cell r="I547" t="str">
            <v>Adquirido</v>
          </cell>
          <cell r="J547" t="str">
            <v xml:space="preserve">Nihon Kohden </v>
          </cell>
          <cell r="K547" t="str">
            <v>BSM-6301K</v>
          </cell>
          <cell r="L547" t="str">
            <v>01047</v>
          </cell>
          <cell r="M547">
            <v>2009</v>
          </cell>
          <cell r="N547">
            <v>-6</v>
          </cell>
          <cell r="O547" t="str">
            <v>Invasivo</v>
          </cell>
          <cell r="R547" t="str">
            <v>Semestral</v>
          </cell>
        </row>
        <row r="548">
          <cell r="C548">
            <v>195</v>
          </cell>
          <cell r="D548" t="str">
            <v>2-002733</v>
          </cell>
          <cell r="E548" t="str">
            <v>Monitor Multiparámetros</v>
          </cell>
          <cell r="F548" t="str">
            <v>Traumatología</v>
          </cell>
          <cell r="G548" t="str">
            <v>Traumatología</v>
          </cell>
          <cell r="H548" t="str">
            <v>Cirugía Trauma</v>
          </cell>
          <cell r="I548" t="str">
            <v>Adquirido</v>
          </cell>
          <cell r="J548" t="str">
            <v xml:space="preserve">Nihon Kohden </v>
          </cell>
          <cell r="K548" t="str">
            <v>BSM-6301K</v>
          </cell>
          <cell r="L548" t="str">
            <v>01059.</v>
          </cell>
          <cell r="M548">
            <v>2009</v>
          </cell>
          <cell r="N548">
            <v>-6</v>
          </cell>
          <cell r="O548" t="str">
            <v>Invasivo</v>
          </cell>
          <cell r="R548" t="str">
            <v>Semestral</v>
          </cell>
        </row>
        <row r="549">
          <cell r="C549">
            <v>196</v>
          </cell>
          <cell r="D549" t="str">
            <v>2-119372</v>
          </cell>
          <cell r="E549" t="str">
            <v>Monitor Multiparámetros</v>
          </cell>
          <cell r="F549" t="str">
            <v>Pabellón (Recuperación)</v>
          </cell>
          <cell r="G549" t="str">
            <v>Recuperación Pabellón Central</v>
          </cell>
          <cell r="H549" t="str">
            <v>Unidad N° 02</v>
          </cell>
          <cell r="I549" t="str">
            <v>Adquirido</v>
          </cell>
          <cell r="J549" t="str">
            <v>Drager</v>
          </cell>
          <cell r="K549" t="str">
            <v>Vista 120</v>
          </cell>
          <cell r="L549" t="str">
            <v>VGSML0069</v>
          </cell>
          <cell r="M549">
            <v>2020</v>
          </cell>
          <cell r="N549">
            <v>5</v>
          </cell>
          <cell r="O549" t="str">
            <v>Invasivo</v>
          </cell>
          <cell r="Q549" t="str">
            <v>23.10.2025 se cambia manguito PANI</v>
          </cell>
          <cell r="R549" t="str">
            <v>Semestral</v>
          </cell>
        </row>
        <row r="550">
          <cell r="C550">
            <v>197</v>
          </cell>
          <cell r="D550" t="str">
            <v>2-116514</v>
          </cell>
          <cell r="E550" t="str">
            <v>Monitor Multiparámetros</v>
          </cell>
          <cell r="F550" t="str">
            <v>UPC Pediátrica</v>
          </cell>
          <cell r="G550" t="str">
            <v>UTI Pediátrica</v>
          </cell>
          <cell r="H550" t="str">
            <v>Cama 12</v>
          </cell>
          <cell r="I550" t="str">
            <v>Arriendo</v>
          </cell>
          <cell r="J550" t="str">
            <v>SPACELABS HEALTHCARE</v>
          </cell>
          <cell r="K550" t="str">
            <v>XPREZZON</v>
          </cell>
          <cell r="L550" t="str">
            <v>1393-109325</v>
          </cell>
          <cell r="M550">
            <v>2018</v>
          </cell>
          <cell r="N550">
            <v>3</v>
          </cell>
          <cell r="O550" t="str">
            <v>Invasivo</v>
          </cell>
          <cell r="R550" t="str">
            <v>Semestral</v>
          </cell>
        </row>
        <row r="551">
          <cell r="C551">
            <v>198</v>
          </cell>
          <cell r="D551" t="str">
            <v>2-116515</v>
          </cell>
          <cell r="E551" t="str">
            <v>Monitor Multiparámetros</v>
          </cell>
          <cell r="F551" t="str">
            <v>UPC Pediátrica</v>
          </cell>
          <cell r="G551" t="str">
            <v>UTI Pediátrica</v>
          </cell>
          <cell r="H551" t="str">
            <v>Cama 13</v>
          </cell>
          <cell r="I551" t="str">
            <v>Arriendo</v>
          </cell>
          <cell r="J551" t="str">
            <v>SPACELABS HEALTHCARE</v>
          </cell>
          <cell r="K551" t="str">
            <v>XPREZZON</v>
          </cell>
          <cell r="L551" t="str">
            <v>1393-109314</v>
          </cell>
          <cell r="M551">
            <v>2018</v>
          </cell>
          <cell r="N551">
            <v>3</v>
          </cell>
          <cell r="O551" t="str">
            <v>Invasivo</v>
          </cell>
          <cell r="R551" t="str">
            <v>Semestral</v>
          </cell>
        </row>
        <row r="552">
          <cell r="C552">
            <v>199</v>
          </cell>
          <cell r="D552" t="str">
            <v>2-119373</v>
          </cell>
          <cell r="E552" t="str">
            <v>Monitor Multiparámetros</v>
          </cell>
          <cell r="F552" t="str">
            <v>Pabellón Quirúrgico (Prestado a Endoscopía)</v>
          </cell>
          <cell r="G552" t="str">
            <v>Endoscopía</v>
          </cell>
          <cell r="H552" t="str">
            <v>1º Piso</v>
          </cell>
          <cell r="I552" t="str">
            <v>Adquirido</v>
          </cell>
          <cell r="J552" t="str">
            <v>Drager</v>
          </cell>
          <cell r="K552" t="str">
            <v>Vista 120</v>
          </cell>
          <cell r="L552" t="str">
            <v>VGSML0070</v>
          </cell>
          <cell r="M552">
            <v>2020</v>
          </cell>
          <cell r="N552">
            <v>5</v>
          </cell>
          <cell r="O552" t="str">
            <v>Invasivo</v>
          </cell>
          <cell r="Q552" t="str">
            <v>trazabilidad. Prestamo temporal 02-09-24</v>
          </cell>
          <cell r="R552" t="str">
            <v>Semestral</v>
          </cell>
        </row>
        <row r="553">
          <cell r="C553">
            <v>200</v>
          </cell>
          <cell r="D553" t="str">
            <v>2-013525</v>
          </cell>
          <cell r="E553" t="str">
            <v>Monitor Multiparámetros</v>
          </cell>
          <cell r="F553" t="str">
            <v>UPC Cardiovascular</v>
          </cell>
          <cell r="G553" t="str">
            <v>UPC Cardiovascular</v>
          </cell>
          <cell r="H553" t="str">
            <v>BODEGA</v>
          </cell>
          <cell r="I553" t="str">
            <v>Adquirido</v>
          </cell>
          <cell r="J553" t="str">
            <v xml:space="preserve">Drager </v>
          </cell>
          <cell r="K553" t="str">
            <v xml:space="preserve">Infinity Vista XL </v>
          </cell>
          <cell r="L553" t="str">
            <v>6000874576</v>
          </cell>
          <cell r="M553">
            <v>2009</v>
          </cell>
          <cell r="N553">
            <v>-6</v>
          </cell>
          <cell r="O553" t="str">
            <v>Invasivo</v>
          </cell>
          <cell r="R553" t="str">
            <v>Semestral</v>
          </cell>
        </row>
        <row r="554">
          <cell r="C554">
            <v>201</v>
          </cell>
          <cell r="D554" t="str">
            <v>2-013523</v>
          </cell>
          <cell r="E554" t="str">
            <v>Monitor Multiparámetros</v>
          </cell>
          <cell r="F554" t="str">
            <v>UPC Cardiovascular</v>
          </cell>
          <cell r="G554" t="str">
            <v>UCI Cardiovascular</v>
          </cell>
          <cell r="H554" t="str">
            <v>BODEGA</v>
          </cell>
          <cell r="I554" t="str">
            <v>Adquirido</v>
          </cell>
          <cell r="J554" t="str">
            <v xml:space="preserve">Drager </v>
          </cell>
          <cell r="K554" t="str">
            <v xml:space="preserve">Infinity Vista XL </v>
          </cell>
          <cell r="L554">
            <v>6000907871</v>
          </cell>
          <cell r="M554">
            <v>2009</v>
          </cell>
          <cell r="N554">
            <v>-6</v>
          </cell>
          <cell r="O554" t="str">
            <v>Invasivo</v>
          </cell>
          <cell r="Q554" t="str">
            <v>Equipo es envia a ST Drager. Por ca√≠da</v>
          </cell>
          <cell r="R554" t="str">
            <v>Semestral</v>
          </cell>
        </row>
        <row r="555">
          <cell r="C555">
            <v>202</v>
          </cell>
          <cell r="D555" t="str">
            <v>2-013524</v>
          </cell>
          <cell r="E555" t="str">
            <v>Monitor Multiparámetros</v>
          </cell>
          <cell r="F555" t="str">
            <v>UPC Cardiovascular (Prestado a UPC Adulto)</v>
          </cell>
          <cell r="G555" t="str">
            <v>UPC Adulto</v>
          </cell>
          <cell r="H555" t="str">
            <v>Armario de equipos UCI Cardio</v>
          </cell>
          <cell r="I555" t="str">
            <v>Adquirido</v>
          </cell>
          <cell r="J555" t="str">
            <v xml:space="preserve">Drager </v>
          </cell>
          <cell r="K555" t="str">
            <v xml:space="preserve">Infinity Vista XL </v>
          </cell>
          <cell r="L555" t="str">
            <v>6000875272</v>
          </cell>
          <cell r="M555">
            <v>2009</v>
          </cell>
          <cell r="N555">
            <v>-6</v>
          </cell>
          <cell r="O555" t="str">
            <v>Invasivo</v>
          </cell>
          <cell r="Q555" t="str">
            <v>trazabilidad. Prestamo temporal 29-11-23</v>
          </cell>
          <cell r="R555" t="str">
            <v>Semestral</v>
          </cell>
        </row>
        <row r="556">
          <cell r="C556">
            <v>203</v>
          </cell>
          <cell r="D556" t="str">
            <v>2-013521</v>
          </cell>
          <cell r="E556" t="str">
            <v>Monitor Multiparámetros</v>
          </cell>
          <cell r="F556" t="str">
            <v>Medicina</v>
          </cell>
          <cell r="G556" t="str">
            <v>Medicina interna - 5to piso</v>
          </cell>
          <cell r="H556" t="str">
            <v>522-3</v>
          </cell>
          <cell r="I556" t="str">
            <v>Adquirido</v>
          </cell>
          <cell r="J556" t="str">
            <v xml:space="preserve">Drager </v>
          </cell>
          <cell r="K556" t="str">
            <v xml:space="preserve">Infinity Vista XL </v>
          </cell>
          <cell r="L556">
            <v>6000873372</v>
          </cell>
          <cell r="M556">
            <v>2009</v>
          </cell>
          <cell r="N556">
            <v>-6</v>
          </cell>
          <cell r="O556" t="str">
            <v>Invasivo</v>
          </cell>
          <cell r="R556" t="str">
            <v>Semestral</v>
          </cell>
        </row>
        <row r="557">
          <cell r="C557">
            <v>204</v>
          </cell>
          <cell r="D557" t="str">
            <v>2-112577</v>
          </cell>
          <cell r="E557" t="str">
            <v>Monitor Multiparámetros</v>
          </cell>
          <cell r="F557" t="str">
            <v>Cardiología</v>
          </cell>
          <cell r="G557" t="str">
            <v>CDT Módulo C</v>
          </cell>
          <cell r="H557" t="str">
            <v>Box 12 - Ecografia</v>
          </cell>
          <cell r="I557" t="str">
            <v>Adquirido</v>
          </cell>
          <cell r="J557" t="str">
            <v>Nellcor</v>
          </cell>
          <cell r="K557" t="str">
            <v>M5600-LA</v>
          </cell>
          <cell r="L557">
            <v>23307030152</v>
          </cell>
          <cell r="M557">
            <v>2007</v>
          </cell>
          <cell r="N557">
            <v>-8</v>
          </cell>
          <cell r="O557" t="str">
            <v>No Invasivo</v>
          </cell>
          <cell r="R557" t="str">
            <v>Semestral</v>
          </cell>
        </row>
        <row r="558">
          <cell r="C558">
            <v>205</v>
          </cell>
          <cell r="D558" t="str">
            <v>2-111613</v>
          </cell>
          <cell r="E558" t="str">
            <v>Monitor Multiparámetros</v>
          </cell>
          <cell r="F558" t="str">
            <v>Urgencia Infantil (Prestado a Pediatría)</v>
          </cell>
          <cell r="G558" t="str">
            <v>Pediatría</v>
          </cell>
          <cell r="I558" t="str">
            <v>Adquirido</v>
          </cell>
          <cell r="J558" t="str">
            <v xml:space="preserve">Drager </v>
          </cell>
          <cell r="K558" t="str">
            <v xml:space="preserve">Infinity Vista XL </v>
          </cell>
          <cell r="L558">
            <v>5395673564</v>
          </cell>
          <cell r="M558">
            <v>2007</v>
          </cell>
          <cell r="N558">
            <v>-8</v>
          </cell>
          <cell r="O558" t="str">
            <v>Invasivo</v>
          </cell>
          <cell r="Q558" t="str">
            <v>trazabilidad. Traspaso temporal 6 meses 05-03-24.</v>
          </cell>
          <cell r="R558" t="str">
            <v>Semestral</v>
          </cell>
        </row>
        <row r="559">
          <cell r="C559">
            <v>206</v>
          </cell>
          <cell r="D559" t="str">
            <v>2-021178</v>
          </cell>
          <cell r="E559" t="str">
            <v>Monitor Multiparámetros</v>
          </cell>
          <cell r="F559" t="str">
            <v>Cirugía Infantil</v>
          </cell>
          <cell r="G559" t="str">
            <v>Cirugía Infantil</v>
          </cell>
          <cell r="H559" t="str">
            <v>Cirugia infantil 619-623</v>
          </cell>
          <cell r="I559" t="str">
            <v>Adquirido</v>
          </cell>
          <cell r="J559" t="str">
            <v xml:space="preserve">Nihon Kohden </v>
          </cell>
          <cell r="K559" t="str">
            <v>BSM-6301K</v>
          </cell>
          <cell r="L559">
            <v>1066</v>
          </cell>
          <cell r="M559">
            <v>2012</v>
          </cell>
          <cell r="N559">
            <v>-3</v>
          </cell>
          <cell r="O559" t="str">
            <v>Invasivo</v>
          </cell>
          <cell r="R559" t="str">
            <v>Semestral</v>
          </cell>
        </row>
        <row r="560">
          <cell r="C560">
            <v>207</v>
          </cell>
          <cell r="D560" t="str">
            <v>2-119374</v>
          </cell>
          <cell r="E560" t="str">
            <v>Monitor Multiparámetros</v>
          </cell>
          <cell r="F560" t="str">
            <v>Pabellón (Recuperación)</v>
          </cell>
          <cell r="G560" t="str">
            <v>Recuperación Pabellón Central</v>
          </cell>
          <cell r="H560" t="str">
            <v>Cama N° 13</v>
          </cell>
          <cell r="I560" t="str">
            <v>Adquirido</v>
          </cell>
          <cell r="J560" t="str">
            <v>Drager</v>
          </cell>
          <cell r="K560" t="str">
            <v>Vista 120</v>
          </cell>
          <cell r="L560" t="str">
            <v>VGSML0072</v>
          </cell>
          <cell r="M560">
            <v>2020</v>
          </cell>
          <cell r="N560">
            <v>5</v>
          </cell>
          <cell r="O560" t="str">
            <v>Invasivo</v>
          </cell>
          <cell r="Q560" t="str">
            <v>23.10.2025 se realiza cambio de cable de poder, reposición de saturómetro y cambio de interfase de SPO2 además de cambio de manguera y manguito PANI</v>
          </cell>
          <cell r="R560" t="str">
            <v>Semestral</v>
          </cell>
        </row>
        <row r="561">
          <cell r="C561">
            <v>208</v>
          </cell>
          <cell r="D561" t="str">
            <v>2-024353</v>
          </cell>
          <cell r="E561" t="str">
            <v>Monitor Multiparámetros</v>
          </cell>
          <cell r="F561" t="str">
            <v>Pabellón Quirúrgico</v>
          </cell>
          <cell r="G561" t="str">
            <v>Pabellón Central</v>
          </cell>
          <cell r="I561" t="str">
            <v>Adquirido</v>
          </cell>
          <cell r="J561" t="str">
            <v xml:space="preserve">Drager </v>
          </cell>
          <cell r="K561" t="str">
            <v>Infinity Kappa</v>
          </cell>
          <cell r="L561">
            <v>5494305160</v>
          </cell>
          <cell r="M561">
            <v>2011</v>
          </cell>
          <cell r="N561">
            <v>-4</v>
          </cell>
          <cell r="O561" t="str">
            <v>Invasivo</v>
          </cell>
          <cell r="R561" t="str">
            <v>Semestral</v>
          </cell>
        </row>
        <row r="562">
          <cell r="C562">
            <v>209</v>
          </cell>
          <cell r="D562" t="str">
            <v>2-119632</v>
          </cell>
          <cell r="E562" t="str">
            <v>Monitor Multiparámetros</v>
          </cell>
          <cell r="F562" t="str">
            <v>UPC 3er Piso</v>
          </cell>
          <cell r="G562" t="str">
            <v>UPC 3er Piso</v>
          </cell>
          <cell r="H562" t="str">
            <v>Sala de equipos</v>
          </cell>
          <cell r="I562" t="str">
            <v>Adquirido</v>
          </cell>
          <cell r="J562" t="str">
            <v>General Electric</v>
          </cell>
          <cell r="K562" t="str">
            <v>B105</v>
          </cell>
          <cell r="L562" t="str">
            <v>SQE19510004SA</v>
          </cell>
          <cell r="M562">
            <v>2020</v>
          </cell>
          <cell r="N562">
            <v>5</v>
          </cell>
          <cell r="O562" t="str">
            <v>Invasivo</v>
          </cell>
          <cell r="R562" t="str">
            <v>Semestral</v>
          </cell>
        </row>
        <row r="563">
          <cell r="C563">
            <v>210</v>
          </cell>
          <cell r="D563" t="str">
            <v>2-119633</v>
          </cell>
          <cell r="E563" t="str">
            <v>Monitor Multiparámetros</v>
          </cell>
          <cell r="F563" t="str">
            <v>UPC 3er Piso</v>
          </cell>
          <cell r="G563" t="str">
            <v>UPC 3er Piso</v>
          </cell>
          <cell r="H563" t="str">
            <v>Sala de equipos</v>
          </cell>
          <cell r="I563" t="str">
            <v>Adquirido</v>
          </cell>
          <cell r="J563" t="str">
            <v>General Electric</v>
          </cell>
          <cell r="K563" t="str">
            <v>B105</v>
          </cell>
          <cell r="L563" t="str">
            <v>SQE19510005SA</v>
          </cell>
          <cell r="M563">
            <v>2020</v>
          </cell>
          <cell r="N563">
            <v>5</v>
          </cell>
          <cell r="O563" t="str">
            <v>Invasivo</v>
          </cell>
          <cell r="R563" t="str">
            <v>Semestral</v>
          </cell>
        </row>
        <row r="564">
          <cell r="C564">
            <v>211</v>
          </cell>
          <cell r="D564" t="str">
            <v>2-017321</v>
          </cell>
          <cell r="E564" t="str">
            <v>Monitor Multiparámetros</v>
          </cell>
          <cell r="F564" t="str">
            <v>UCI Cardiovascular</v>
          </cell>
          <cell r="G564" t="str">
            <v>Pabellón Cardiovascular</v>
          </cell>
          <cell r="H564" t="str">
            <v>Pabellón 8</v>
          </cell>
          <cell r="I564" t="str">
            <v>Adquirido</v>
          </cell>
          <cell r="J564" t="str">
            <v>General Electric</v>
          </cell>
          <cell r="K564" t="str">
            <v>Dash 4000</v>
          </cell>
          <cell r="L564" t="str">
            <v>SD011154540GA</v>
          </cell>
          <cell r="M564">
            <v>2010</v>
          </cell>
          <cell r="N564">
            <v>-5</v>
          </cell>
          <cell r="O564" t="str">
            <v>Invasivo</v>
          </cell>
          <cell r="Q564" t="str">
            <v>Equipo es dado de baja 14-01-25. Equipo con bomba PANI mala, sin reparaci√≥n por estar discontinuado</v>
          </cell>
          <cell r="R564" t="str">
            <v>Semestral</v>
          </cell>
        </row>
        <row r="565">
          <cell r="C565">
            <v>212</v>
          </cell>
          <cell r="E565" t="str">
            <v>Monitor Multiparámetros</v>
          </cell>
          <cell r="N565" t="str">
            <v>Disponible</v>
          </cell>
        </row>
        <row r="566">
          <cell r="C566">
            <v>213</v>
          </cell>
          <cell r="E566" t="str">
            <v>Monitor Multiparámetros</v>
          </cell>
          <cell r="N566" t="str">
            <v>Disponible</v>
          </cell>
        </row>
        <row r="567">
          <cell r="C567">
            <v>214</v>
          </cell>
          <cell r="D567" t="str">
            <v>2-112536</v>
          </cell>
          <cell r="E567" t="str">
            <v>Monitor Multiparámetros</v>
          </cell>
          <cell r="F567" t="str">
            <v>UPC Adulto</v>
          </cell>
          <cell r="G567" t="str">
            <v>UTI Adulto</v>
          </cell>
          <cell r="I567" t="str">
            <v>Adquirido</v>
          </cell>
          <cell r="J567" t="str">
            <v xml:space="preserve">Drager </v>
          </cell>
          <cell r="K567" t="str">
            <v>Infinity Delta</v>
          </cell>
          <cell r="L567">
            <v>5395138358</v>
          </cell>
          <cell r="M567">
            <v>2004</v>
          </cell>
          <cell r="N567">
            <v>-11</v>
          </cell>
          <cell r="O567" t="str">
            <v>Invasivo</v>
          </cell>
          <cell r="R567" t="str">
            <v>Semestral</v>
          </cell>
        </row>
        <row r="568">
          <cell r="C568">
            <v>215</v>
          </cell>
          <cell r="D568" t="str">
            <v>2-027413</v>
          </cell>
          <cell r="E568" t="str">
            <v>Monitor Multiparámetros</v>
          </cell>
          <cell r="F568" t="str">
            <v>Psiquiatría</v>
          </cell>
          <cell r="G568" t="str">
            <v>Psiquiatría Infantil</v>
          </cell>
          <cell r="H568" t="str">
            <v>TN-P2</v>
          </cell>
          <cell r="I568" t="str">
            <v>Adquirido</v>
          </cell>
          <cell r="J568" t="str">
            <v>Philips</v>
          </cell>
          <cell r="K568" t="str">
            <v>VM6</v>
          </cell>
          <cell r="L568" t="str">
            <v>US74915951</v>
          </cell>
          <cell r="M568">
            <v>2008</v>
          </cell>
          <cell r="N568">
            <v>-7</v>
          </cell>
          <cell r="O568" t="str">
            <v>No Invasivo</v>
          </cell>
          <cell r="R568" t="str">
            <v>Semestral</v>
          </cell>
        </row>
        <row r="569">
          <cell r="C569">
            <v>216</v>
          </cell>
          <cell r="D569" t="str">
            <v>2-119629</v>
          </cell>
          <cell r="E569" t="str">
            <v>Monitor Multiparámetros</v>
          </cell>
          <cell r="F569" t="str">
            <v>UPC 3er Piso</v>
          </cell>
          <cell r="G569" t="str">
            <v>UPC 3er Piso</v>
          </cell>
          <cell r="H569" t="str">
            <v>Bodega</v>
          </cell>
          <cell r="I569" t="str">
            <v>Adquirido</v>
          </cell>
          <cell r="J569" t="str">
            <v>General Electric</v>
          </cell>
          <cell r="K569" t="str">
            <v>B105</v>
          </cell>
          <cell r="L569" t="str">
            <v>SQE19510008SA</v>
          </cell>
          <cell r="M569">
            <v>2020</v>
          </cell>
          <cell r="N569">
            <v>5</v>
          </cell>
          <cell r="O569" t="str">
            <v>Invasivo</v>
          </cell>
          <cell r="R569" t="str">
            <v>Semestral</v>
          </cell>
        </row>
        <row r="570">
          <cell r="C570">
            <v>217</v>
          </cell>
          <cell r="E570" t="str">
            <v>Monitor Multiparámetros</v>
          </cell>
          <cell r="N570" t="str">
            <v>Disponible</v>
          </cell>
        </row>
        <row r="571">
          <cell r="C571">
            <v>218</v>
          </cell>
          <cell r="D571" t="str">
            <v>2-113428</v>
          </cell>
          <cell r="E571" t="str">
            <v>Monitor Multiparámetros</v>
          </cell>
          <cell r="F571" t="str">
            <v>Medicina</v>
          </cell>
          <cell r="G571" t="str">
            <v>Medicina interna - 5to piso</v>
          </cell>
          <cell r="H571" t="str">
            <v>524-1</v>
          </cell>
          <cell r="I571" t="str">
            <v>Adquirido</v>
          </cell>
          <cell r="J571" t="str">
            <v xml:space="preserve">Nihon Kohden </v>
          </cell>
          <cell r="K571" t="str">
            <v>BSM-2351K</v>
          </cell>
          <cell r="L571" t="str">
            <v>03644.</v>
          </cell>
          <cell r="M571">
            <v>2017</v>
          </cell>
          <cell r="N571">
            <v>2</v>
          </cell>
          <cell r="O571" t="str">
            <v>No Invasivo</v>
          </cell>
          <cell r="R571" t="str">
            <v>Semestral</v>
          </cell>
        </row>
        <row r="572">
          <cell r="C572">
            <v>219</v>
          </cell>
          <cell r="D572" t="str">
            <v>2-016153</v>
          </cell>
          <cell r="E572" t="str">
            <v>Monitor Multiparámetros</v>
          </cell>
          <cell r="F572" t="str">
            <v>Pabellón CMA</v>
          </cell>
          <cell r="G572" t="str">
            <v>Recuperación CMA</v>
          </cell>
          <cell r="I572" t="str">
            <v>Adquirido</v>
          </cell>
          <cell r="J572" t="str">
            <v xml:space="preserve">Nihon Kohden </v>
          </cell>
          <cell r="K572" t="str">
            <v>PVM-2701K</v>
          </cell>
          <cell r="L572">
            <v>100646</v>
          </cell>
          <cell r="M572">
            <v>2011</v>
          </cell>
          <cell r="N572">
            <v>-4</v>
          </cell>
          <cell r="O572" t="str">
            <v>No Invasivo</v>
          </cell>
          <cell r="Q572" t="str">
            <v>18.11.2025 carcasa ligeramente rayada</v>
          </cell>
          <cell r="R572" t="str">
            <v>Semestral</v>
          </cell>
        </row>
        <row r="573">
          <cell r="C573">
            <v>220</v>
          </cell>
          <cell r="D573" t="str">
            <v>2-023029</v>
          </cell>
          <cell r="E573" t="str">
            <v>Monitor Multiparámetros</v>
          </cell>
          <cell r="F573" t="str">
            <v>Pabellón CMA</v>
          </cell>
          <cell r="G573" t="str">
            <v>Recuperación CMA</v>
          </cell>
          <cell r="I573" t="str">
            <v>Adquirido</v>
          </cell>
          <cell r="J573" t="str">
            <v xml:space="preserve">Nihon Kohden </v>
          </cell>
          <cell r="K573" t="str">
            <v>PVM-2701K</v>
          </cell>
          <cell r="L573">
            <v>100642</v>
          </cell>
          <cell r="M573">
            <v>2011</v>
          </cell>
          <cell r="N573">
            <v>-4</v>
          </cell>
          <cell r="O573" t="str">
            <v>No Invasivo</v>
          </cell>
          <cell r="R573" t="str">
            <v>Semestral</v>
          </cell>
        </row>
        <row r="574">
          <cell r="C574">
            <v>221</v>
          </cell>
          <cell r="D574" t="str">
            <v>2-119650</v>
          </cell>
          <cell r="E574" t="str">
            <v>Monitor Multiparámetros</v>
          </cell>
          <cell r="F574" t="str">
            <v>UPC 3er Piso</v>
          </cell>
          <cell r="G574" t="str">
            <v>UPC 3er Piso</v>
          </cell>
          <cell r="H574" t="str">
            <v>Sala de equipos</v>
          </cell>
          <cell r="I574" t="str">
            <v>Adquirido</v>
          </cell>
          <cell r="J574" t="str">
            <v>General Electric</v>
          </cell>
          <cell r="K574" t="str">
            <v>B105</v>
          </cell>
          <cell r="L574" t="str">
            <v>SQE19510009SA</v>
          </cell>
          <cell r="M574">
            <v>2020</v>
          </cell>
          <cell r="N574">
            <v>5</v>
          </cell>
          <cell r="O574" t="str">
            <v>Invasivo</v>
          </cell>
          <cell r="R574" t="str">
            <v>Semestral</v>
          </cell>
        </row>
        <row r="575">
          <cell r="C575">
            <v>222</v>
          </cell>
          <cell r="D575" t="str">
            <v>2-023026</v>
          </cell>
          <cell r="E575" t="str">
            <v>Monitor Multiparámetros</v>
          </cell>
          <cell r="F575" t="str">
            <v>Pabellón CMA (prestado a UPC Adulto)</v>
          </cell>
          <cell r="G575" t="str">
            <v>UPC Adulto</v>
          </cell>
          <cell r="I575" t="str">
            <v>Adquirido</v>
          </cell>
          <cell r="J575" t="str">
            <v xml:space="preserve">Nihon Kohden </v>
          </cell>
          <cell r="K575" t="str">
            <v>PVM-2701K</v>
          </cell>
          <cell r="L575">
            <v>100656</v>
          </cell>
          <cell r="M575">
            <v>2011</v>
          </cell>
          <cell r="N575">
            <v>-4</v>
          </cell>
          <cell r="O575" t="str">
            <v>No Invasivo</v>
          </cell>
          <cell r="R575" t="str">
            <v>Semestral</v>
          </cell>
        </row>
        <row r="576">
          <cell r="C576">
            <v>223</v>
          </cell>
          <cell r="D576" t="str">
            <v>2-118855</v>
          </cell>
          <cell r="E576" t="str">
            <v>Monitor Multiparámetros</v>
          </cell>
          <cell r="F576" t="str">
            <v>Pabellón Quirúrgico</v>
          </cell>
          <cell r="G576" t="str">
            <v>Pabellón Central</v>
          </cell>
          <cell r="H576" t="str">
            <v>Pabellón 10</v>
          </cell>
          <cell r="I576" t="str">
            <v>Adquirido</v>
          </cell>
          <cell r="J576" t="str">
            <v>Drager</v>
          </cell>
          <cell r="K576" t="str">
            <v>M540</v>
          </cell>
          <cell r="L576">
            <v>5613540865</v>
          </cell>
          <cell r="M576">
            <v>2019</v>
          </cell>
          <cell r="N576">
            <v>4</v>
          </cell>
          <cell r="O576" t="str">
            <v>Invasivo</v>
          </cell>
          <cell r="R576" t="str">
            <v>Semestral</v>
          </cell>
        </row>
        <row r="577">
          <cell r="C577">
            <v>224</v>
          </cell>
          <cell r="D577" t="str">
            <v>2-027447</v>
          </cell>
          <cell r="E577" t="str">
            <v>Monitor Multiparámetros</v>
          </cell>
          <cell r="F577" t="str">
            <v>Hospitalización Domiciliaria</v>
          </cell>
          <cell r="G577" t="str">
            <v>Servicio programas ambulatorios</v>
          </cell>
          <cell r="H577" t="str">
            <v>Domicilio</v>
          </cell>
          <cell r="I577" t="str">
            <v>Adquirido</v>
          </cell>
          <cell r="J577" t="str">
            <v>Philips</v>
          </cell>
          <cell r="K577" t="str">
            <v>VM6</v>
          </cell>
          <cell r="L577" t="str">
            <v>US74915955</v>
          </cell>
          <cell r="M577">
            <v>2008</v>
          </cell>
          <cell r="N577">
            <v>-7</v>
          </cell>
          <cell r="O577" t="str">
            <v>No Invasivo</v>
          </cell>
          <cell r="R577" t="str">
            <v>Semestral</v>
          </cell>
        </row>
        <row r="578">
          <cell r="C578">
            <v>225</v>
          </cell>
          <cell r="D578" t="str">
            <v>2-003463</v>
          </cell>
          <cell r="E578" t="str">
            <v>Monitor Multiparámetros</v>
          </cell>
          <cell r="F578" t="str">
            <v>UPC Cardiovascular</v>
          </cell>
          <cell r="G578" t="str">
            <v xml:space="preserve">UCI Cardiovascular </v>
          </cell>
          <cell r="H578" t="str">
            <v>UCI-CAMA 5</v>
          </cell>
          <cell r="I578" t="str">
            <v>Adquirido</v>
          </cell>
          <cell r="J578" t="str">
            <v>Drager</v>
          </cell>
          <cell r="K578" t="str">
            <v>Infinity Kappa</v>
          </cell>
          <cell r="L578">
            <v>5494308059</v>
          </cell>
          <cell r="M578">
            <v>2010</v>
          </cell>
          <cell r="N578">
            <v>-5</v>
          </cell>
          <cell r="O578" t="str">
            <v>Invasivo</v>
          </cell>
          <cell r="Q578" t="str">
            <v>Cambio del boton de mando 30-07-24</v>
          </cell>
          <cell r="R578" t="str">
            <v>Semestral</v>
          </cell>
        </row>
        <row r="579">
          <cell r="C579">
            <v>226</v>
          </cell>
          <cell r="D579" t="str">
            <v>2-113429</v>
          </cell>
          <cell r="E579" t="str">
            <v>Monitor Multiparámetros</v>
          </cell>
          <cell r="F579" t="str">
            <v>Hemodiálisis</v>
          </cell>
          <cell r="G579" t="str">
            <v>Hemodiálisis</v>
          </cell>
          <cell r="H579" t="str">
            <v>EPB-P1</v>
          </cell>
          <cell r="I579" t="str">
            <v>Adquirido</v>
          </cell>
          <cell r="J579" t="str">
            <v xml:space="preserve">Nihon Kohden </v>
          </cell>
          <cell r="K579" t="str">
            <v>BSM-2351K</v>
          </cell>
          <cell r="L579">
            <v>3647</v>
          </cell>
          <cell r="M579">
            <v>2017</v>
          </cell>
          <cell r="N579">
            <v>2</v>
          </cell>
          <cell r="O579" t="str">
            <v>No Invasivo</v>
          </cell>
          <cell r="R579" t="str">
            <v>Semestral</v>
          </cell>
        </row>
        <row r="580">
          <cell r="C580">
            <v>227</v>
          </cell>
          <cell r="D580" t="str">
            <v>2-024297</v>
          </cell>
          <cell r="E580" t="str">
            <v>Monitor Multiparámetros</v>
          </cell>
          <cell r="F580" t="str">
            <v>Pabellón Quirúrgico</v>
          </cell>
          <cell r="G580" t="str">
            <v>Pabellón Central</v>
          </cell>
          <cell r="I580" t="str">
            <v>Adquirido</v>
          </cell>
          <cell r="J580" t="str">
            <v>Drager</v>
          </cell>
          <cell r="K580" t="str">
            <v xml:space="preserve">Infinity Kappa </v>
          </cell>
          <cell r="L580">
            <v>5494528944</v>
          </cell>
          <cell r="M580">
            <v>2011</v>
          </cell>
          <cell r="N580">
            <v>-4</v>
          </cell>
          <cell r="O580" t="str">
            <v>Invasivo</v>
          </cell>
          <cell r="R580" t="str">
            <v>Semestral</v>
          </cell>
        </row>
        <row r="581">
          <cell r="C581">
            <v>228</v>
          </cell>
          <cell r="D581" t="str">
            <v>2-118839</v>
          </cell>
          <cell r="E581" t="str">
            <v>Monitor Multiparámetros</v>
          </cell>
          <cell r="F581" t="str">
            <v>Pabellón Quirúrgico</v>
          </cell>
          <cell r="G581" t="str">
            <v>Pabellón Central</v>
          </cell>
          <cell r="H581" t="str">
            <v>Bodega</v>
          </cell>
          <cell r="I581" t="str">
            <v>Adquirido</v>
          </cell>
          <cell r="J581" t="str">
            <v>Drager</v>
          </cell>
          <cell r="K581" t="str">
            <v>M540</v>
          </cell>
          <cell r="L581">
            <v>5613542961</v>
          </cell>
          <cell r="M581">
            <v>2019</v>
          </cell>
          <cell r="N581">
            <v>4</v>
          </cell>
          <cell r="O581" t="str">
            <v>Invasivo</v>
          </cell>
          <cell r="Q581" t="str">
            <v>Cambio de tarjeta ECG y pines de modulo S500 21-11-24</v>
          </cell>
          <cell r="R581" t="str">
            <v>Semestral</v>
          </cell>
        </row>
        <row r="582">
          <cell r="C582">
            <v>229</v>
          </cell>
          <cell r="D582" t="str">
            <v>2-119652</v>
          </cell>
          <cell r="E582" t="str">
            <v>Monitor Multiparámetros</v>
          </cell>
          <cell r="F582" t="str">
            <v>Medicina</v>
          </cell>
          <cell r="G582" t="str">
            <v>Medicina interna - 5to piso</v>
          </cell>
          <cell r="H582" t="str">
            <v>595-1</v>
          </cell>
          <cell r="I582" t="str">
            <v>Adquirido</v>
          </cell>
          <cell r="J582" t="str">
            <v>General Electric</v>
          </cell>
          <cell r="K582" t="str">
            <v>B105</v>
          </cell>
          <cell r="L582" t="str">
            <v>SQE19510010SA</v>
          </cell>
          <cell r="M582">
            <v>2020</v>
          </cell>
          <cell r="N582">
            <v>5</v>
          </cell>
          <cell r="O582" t="str">
            <v>Invasivo</v>
          </cell>
          <cell r="R582" t="str">
            <v>Semestral</v>
          </cell>
        </row>
        <row r="583">
          <cell r="C583">
            <v>230</v>
          </cell>
          <cell r="D583" t="str">
            <v>2-007607</v>
          </cell>
          <cell r="E583" t="str">
            <v>Monitor Multiparámetros</v>
          </cell>
          <cell r="F583" t="str">
            <v>Cirugía Adulto</v>
          </cell>
          <cell r="G583" t="str">
            <v>Cirugia Adulto - Piso 3</v>
          </cell>
          <cell r="H583" t="str">
            <v>EPA</v>
          </cell>
          <cell r="I583" t="str">
            <v>Adquirido</v>
          </cell>
          <cell r="J583" t="str">
            <v xml:space="preserve">Nihon Kohden </v>
          </cell>
          <cell r="K583" t="str">
            <v>BSM-6301K</v>
          </cell>
          <cell r="L583" t="str">
            <v>01031.</v>
          </cell>
          <cell r="M583">
            <v>2009</v>
          </cell>
          <cell r="N583">
            <v>-6</v>
          </cell>
          <cell r="O583" t="str">
            <v>Invasivo</v>
          </cell>
          <cell r="R583" t="str">
            <v>Semestral</v>
          </cell>
        </row>
        <row r="584">
          <cell r="C584">
            <v>231</v>
          </cell>
          <cell r="D584" t="str">
            <v>2-112658</v>
          </cell>
          <cell r="E584" t="str">
            <v>Monitor Multiparámetros</v>
          </cell>
          <cell r="F584" t="str">
            <v>Imagenología</v>
          </cell>
          <cell r="G584" t="str">
            <v>Imagenología</v>
          </cell>
          <cell r="H584" t="str">
            <v>Angiógrafo</v>
          </cell>
          <cell r="I584" t="str">
            <v>Adquirido</v>
          </cell>
          <cell r="J584" t="str">
            <v>Drager</v>
          </cell>
          <cell r="K584" t="str">
            <v xml:space="preserve">Infinity Vista XL </v>
          </cell>
          <cell r="L584">
            <v>5396140362</v>
          </cell>
          <cell r="M584">
            <v>2008</v>
          </cell>
          <cell r="N584">
            <v>-7</v>
          </cell>
          <cell r="O584" t="str">
            <v>Invasivo</v>
          </cell>
          <cell r="R584" t="str">
            <v>Semestral</v>
          </cell>
        </row>
        <row r="585">
          <cell r="C585">
            <v>232</v>
          </cell>
          <cell r="D585" t="str">
            <v>2-027591</v>
          </cell>
          <cell r="E585" t="str">
            <v>Monitor Multiparámetros</v>
          </cell>
          <cell r="F585" t="str">
            <v>UPC Adulto</v>
          </cell>
          <cell r="G585" t="str">
            <v>UCI Adulto</v>
          </cell>
          <cell r="H585" t="str">
            <v>CAMA 1</v>
          </cell>
          <cell r="I585" t="str">
            <v>Adquirido</v>
          </cell>
          <cell r="J585" t="str">
            <v>Drager</v>
          </cell>
          <cell r="K585" t="str">
            <v>Infinity Kappa</v>
          </cell>
          <cell r="L585">
            <v>5495045456</v>
          </cell>
          <cell r="M585">
            <v>2014</v>
          </cell>
          <cell r="N585">
            <v>-1</v>
          </cell>
          <cell r="O585" t="str">
            <v>Invasivo</v>
          </cell>
          <cell r="R585" t="str">
            <v>Semestral</v>
          </cell>
        </row>
        <row r="586">
          <cell r="C586">
            <v>233</v>
          </cell>
          <cell r="D586" t="str">
            <v>2-016363</v>
          </cell>
          <cell r="E586" t="str">
            <v>Monitor Multiparámetros</v>
          </cell>
          <cell r="F586" t="str">
            <v>UPC Adulto</v>
          </cell>
          <cell r="G586" t="str">
            <v>UCI Adulto</v>
          </cell>
          <cell r="H586" t="str">
            <v>CAMA 20</v>
          </cell>
          <cell r="I586" t="str">
            <v>Adquirido</v>
          </cell>
          <cell r="J586" t="str">
            <v>Drager</v>
          </cell>
          <cell r="K586" t="str">
            <v>Infinity Kappa</v>
          </cell>
          <cell r="L586">
            <v>5495022766</v>
          </cell>
          <cell r="M586">
            <v>2014</v>
          </cell>
          <cell r="N586">
            <v>-1</v>
          </cell>
          <cell r="O586" t="str">
            <v>Invasivo</v>
          </cell>
          <cell r="Q586" t="str">
            <v>Cambio de mando rotatorio 15-10-24</v>
          </cell>
          <cell r="R586" t="str">
            <v>Semestral</v>
          </cell>
        </row>
        <row r="587">
          <cell r="C587">
            <v>234</v>
          </cell>
          <cell r="D587" t="str">
            <v>2-027646</v>
          </cell>
          <cell r="E587" t="str">
            <v>Monitor Multiparámetros</v>
          </cell>
          <cell r="F587" t="str">
            <v>UPC Adulto</v>
          </cell>
          <cell r="G587" t="str">
            <v>UCI Adulto</v>
          </cell>
          <cell r="H587" t="str">
            <v>CAMA 21</v>
          </cell>
          <cell r="I587" t="str">
            <v>Adquirido</v>
          </cell>
          <cell r="J587" t="str">
            <v>Drager</v>
          </cell>
          <cell r="K587" t="str">
            <v>Infinity Kappa</v>
          </cell>
          <cell r="L587">
            <v>5495046856</v>
          </cell>
          <cell r="M587">
            <v>2014</v>
          </cell>
          <cell r="N587">
            <v>-1</v>
          </cell>
          <cell r="O587" t="str">
            <v>Invasivo</v>
          </cell>
          <cell r="Q587" t="str">
            <v>Cambio de mando rotatorio 11-10-24</v>
          </cell>
          <cell r="R587" t="str">
            <v>Semestral</v>
          </cell>
        </row>
        <row r="588">
          <cell r="C588">
            <v>235</v>
          </cell>
          <cell r="D588" t="str">
            <v>2-023232</v>
          </cell>
          <cell r="E588" t="str">
            <v>Monitor Multiparámetros</v>
          </cell>
          <cell r="F588" t="str">
            <v>UPC Adulto</v>
          </cell>
          <cell r="G588" t="str">
            <v>UCI Adulto</v>
          </cell>
          <cell r="H588" t="str">
            <v>CAMA 19</v>
          </cell>
          <cell r="I588" t="str">
            <v>Adquirido</v>
          </cell>
          <cell r="J588" t="str">
            <v>Drager</v>
          </cell>
          <cell r="K588" t="str">
            <v>Infinity Kappa</v>
          </cell>
          <cell r="L588">
            <v>5495038063</v>
          </cell>
          <cell r="M588">
            <v>2014</v>
          </cell>
          <cell r="N588">
            <v>-1</v>
          </cell>
          <cell r="O588" t="str">
            <v>Invasivo</v>
          </cell>
          <cell r="Q588" t="str">
            <v>Cambio de mando rotatorio 15-10-24</v>
          </cell>
          <cell r="R588" t="str">
            <v>Semestral</v>
          </cell>
        </row>
        <row r="589">
          <cell r="C589">
            <v>236</v>
          </cell>
          <cell r="D589" t="str">
            <v>2-027618</v>
          </cell>
          <cell r="E589" t="str">
            <v>Monitor Multiparámetros</v>
          </cell>
          <cell r="F589" t="str">
            <v>UPC Adulto</v>
          </cell>
          <cell r="G589" t="str">
            <v>UCI Adulto</v>
          </cell>
          <cell r="H589" t="str">
            <v>CAMA 23</v>
          </cell>
          <cell r="I589" t="str">
            <v>Adquirido</v>
          </cell>
          <cell r="J589" t="str">
            <v>Drager</v>
          </cell>
          <cell r="K589" t="str">
            <v>Infinity Kappa</v>
          </cell>
          <cell r="L589">
            <v>5495024960</v>
          </cell>
          <cell r="M589">
            <v>2014</v>
          </cell>
          <cell r="N589">
            <v>-1</v>
          </cell>
          <cell r="O589" t="str">
            <v>Invasivo</v>
          </cell>
          <cell r="Q589" t="str">
            <v>Cambio de mando rotatorio 10-10-24</v>
          </cell>
          <cell r="R589" t="str">
            <v>Semestral</v>
          </cell>
        </row>
        <row r="590">
          <cell r="C590">
            <v>237</v>
          </cell>
          <cell r="D590" t="str">
            <v>2-027647</v>
          </cell>
          <cell r="E590" t="str">
            <v>Monitor Multiparámetros</v>
          </cell>
          <cell r="F590" t="str">
            <v>UPC Adulto</v>
          </cell>
          <cell r="G590" t="str">
            <v>UCI Adulto</v>
          </cell>
          <cell r="H590" t="str">
            <v>CAMA 24</v>
          </cell>
          <cell r="I590" t="str">
            <v>Adquirido</v>
          </cell>
          <cell r="J590" t="str">
            <v>Drager</v>
          </cell>
          <cell r="K590" t="str">
            <v>Infinity Kappa</v>
          </cell>
          <cell r="L590">
            <v>5495046758</v>
          </cell>
          <cell r="M590">
            <v>2014</v>
          </cell>
          <cell r="N590">
            <v>-1</v>
          </cell>
          <cell r="O590" t="str">
            <v>Invasivo</v>
          </cell>
          <cell r="Q590" t="str">
            <v>Cambio de mando rotatorio 10-10-24</v>
          </cell>
          <cell r="R590" t="str">
            <v>Semestral</v>
          </cell>
        </row>
        <row r="591">
          <cell r="C591">
            <v>238</v>
          </cell>
          <cell r="D591" t="str">
            <v>2-023233</v>
          </cell>
          <cell r="E591" t="str">
            <v>Monitor Multiparámetros</v>
          </cell>
          <cell r="F591" t="str">
            <v>UPC Adulto</v>
          </cell>
          <cell r="G591" t="str">
            <v>UTI Médica</v>
          </cell>
          <cell r="H591" t="str">
            <v>CAMA 16</v>
          </cell>
          <cell r="I591" t="str">
            <v>adquirido</v>
          </cell>
          <cell r="J591" t="str">
            <v>Drager</v>
          </cell>
          <cell r="K591" t="str">
            <v>Infinity Kappa</v>
          </cell>
          <cell r="L591">
            <v>5495042762</v>
          </cell>
          <cell r="M591">
            <v>2014</v>
          </cell>
          <cell r="N591">
            <v>-1</v>
          </cell>
          <cell r="O591" t="str">
            <v>Invasivo</v>
          </cell>
          <cell r="Q591" t="str">
            <v>Se realiza cambio de mando rotatotio 28-10-2025</v>
          </cell>
          <cell r="R591" t="str">
            <v>Semestral</v>
          </cell>
        </row>
        <row r="592">
          <cell r="C592">
            <v>239</v>
          </cell>
          <cell r="D592" t="str">
            <v>2-016364</v>
          </cell>
          <cell r="E592" t="str">
            <v>Monitor Multiparámetros</v>
          </cell>
          <cell r="F592" t="str">
            <v>UPC Adulto</v>
          </cell>
          <cell r="G592" t="str">
            <v>UCI Adulto</v>
          </cell>
          <cell r="H592" t="str">
            <v>CAMA 18</v>
          </cell>
          <cell r="I592" t="str">
            <v>Adquirido</v>
          </cell>
          <cell r="J592" t="str">
            <v>Drager</v>
          </cell>
          <cell r="K592" t="str">
            <v>Infinity Kappa</v>
          </cell>
          <cell r="L592">
            <v>5495036956</v>
          </cell>
          <cell r="M592">
            <v>2014</v>
          </cell>
          <cell r="N592">
            <v>-1</v>
          </cell>
          <cell r="O592" t="str">
            <v>Invasivo</v>
          </cell>
          <cell r="Q592" t="str">
            <v>Cambio de mando rotatorio 15-10-24</v>
          </cell>
          <cell r="R592" t="str">
            <v>Semestral</v>
          </cell>
        </row>
        <row r="593">
          <cell r="C593">
            <v>240</v>
          </cell>
          <cell r="D593" t="str">
            <v>2-027617</v>
          </cell>
          <cell r="E593" t="str">
            <v>Monitor Multiparámetros</v>
          </cell>
          <cell r="F593" t="str">
            <v>UPC Adulto</v>
          </cell>
          <cell r="G593" t="str">
            <v>UCI Adulto</v>
          </cell>
          <cell r="H593" t="str">
            <v>CAMA 13</v>
          </cell>
          <cell r="I593" t="str">
            <v>Adquirido</v>
          </cell>
          <cell r="J593" t="str">
            <v>Drager</v>
          </cell>
          <cell r="K593" t="str">
            <v>Infinity Kappa</v>
          </cell>
          <cell r="L593">
            <v>5495022864</v>
          </cell>
          <cell r="M593">
            <v>2014</v>
          </cell>
          <cell r="N593">
            <v>-1</v>
          </cell>
          <cell r="O593" t="str">
            <v>Invasivo</v>
          </cell>
          <cell r="Q593" t="str">
            <v>Cambio de mando rotatorio 16-10-24</v>
          </cell>
          <cell r="R593" t="str">
            <v>Semestral</v>
          </cell>
        </row>
        <row r="594">
          <cell r="C594">
            <v>241</v>
          </cell>
          <cell r="D594" t="str">
            <v>2-021531</v>
          </cell>
          <cell r="E594" t="str">
            <v>Monitor Multiparámetros</v>
          </cell>
          <cell r="F594" t="str">
            <v>Pabellón (Recuperación)</v>
          </cell>
          <cell r="G594" t="str">
            <v>Recuperación Pabellón Central</v>
          </cell>
          <cell r="H594" t="str">
            <v>Unidad N° 01</v>
          </cell>
          <cell r="I594" t="str">
            <v>Adquirido</v>
          </cell>
          <cell r="J594" t="str">
            <v>Drager</v>
          </cell>
          <cell r="K594" t="str">
            <v>Vista 120</v>
          </cell>
          <cell r="L594" t="str">
            <v>V2SFH0017</v>
          </cell>
          <cell r="M594">
            <v>2015</v>
          </cell>
          <cell r="N594">
            <v>0</v>
          </cell>
          <cell r="O594" t="str">
            <v>Invasivo</v>
          </cell>
          <cell r="R594" t="str">
            <v>Semestral</v>
          </cell>
        </row>
        <row r="595">
          <cell r="C595">
            <v>242</v>
          </cell>
          <cell r="D595" t="str">
            <v>2-021532</v>
          </cell>
          <cell r="E595" t="str">
            <v>Monitor Multiparámetros</v>
          </cell>
          <cell r="F595" t="str">
            <v>Pabellón (Recuperación)</v>
          </cell>
          <cell r="G595" t="str">
            <v>Recuperación Pabellón Central</v>
          </cell>
          <cell r="H595" t="str">
            <v>Unidad N° 07</v>
          </cell>
          <cell r="I595" t="str">
            <v>Adquirido</v>
          </cell>
          <cell r="J595" t="str">
            <v>Drager</v>
          </cell>
          <cell r="K595" t="str">
            <v>Vista 120</v>
          </cell>
          <cell r="L595" t="str">
            <v>V2SFH0032</v>
          </cell>
          <cell r="M595">
            <v>2015</v>
          </cell>
          <cell r="N595">
            <v>0</v>
          </cell>
          <cell r="O595" t="str">
            <v>Invasivo</v>
          </cell>
          <cell r="R595" t="str">
            <v>Semestral</v>
          </cell>
        </row>
        <row r="596">
          <cell r="C596">
            <v>243</v>
          </cell>
          <cell r="D596" t="str">
            <v>2-021540</v>
          </cell>
          <cell r="E596" t="str">
            <v>Monitor Multiparámetros</v>
          </cell>
          <cell r="F596" t="str">
            <v>Pabellón (Recuperación)</v>
          </cell>
          <cell r="G596" t="str">
            <v>Recuperación Pabellón Central</v>
          </cell>
          <cell r="H596" t="str">
            <v>Cama N° 5</v>
          </cell>
          <cell r="I596" t="str">
            <v>Adquirido</v>
          </cell>
          <cell r="J596" t="str">
            <v>Drager</v>
          </cell>
          <cell r="K596" t="str">
            <v>Vista 120</v>
          </cell>
          <cell r="L596" t="str">
            <v>V2SFH0025</v>
          </cell>
          <cell r="M596">
            <v>2015</v>
          </cell>
          <cell r="N596">
            <v>0</v>
          </cell>
          <cell r="O596" t="str">
            <v>Invasivo</v>
          </cell>
          <cell r="Q596" t="str">
            <v>24.10.2025 cambio de manguito PANI</v>
          </cell>
          <cell r="R596" t="str">
            <v>Semestral</v>
          </cell>
        </row>
        <row r="597">
          <cell r="C597">
            <v>244</v>
          </cell>
          <cell r="D597" t="str">
            <v>2-021538</v>
          </cell>
          <cell r="E597" t="str">
            <v>Monitor Multiparámetros</v>
          </cell>
          <cell r="F597" t="str">
            <v>Pabellón (Recuperación)</v>
          </cell>
          <cell r="G597" t="str">
            <v>Recuperación Pabellón Central</v>
          </cell>
          <cell r="H597" t="str">
            <v>Cama N° 18</v>
          </cell>
          <cell r="I597" t="str">
            <v>Adquirido</v>
          </cell>
          <cell r="J597" t="str">
            <v>Drager</v>
          </cell>
          <cell r="K597" t="str">
            <v>Vista 120</v>
          </cell>
          <cell r="L597" t="str">
            <v>V2SFH0016</v>
          </cell>
          <cell r="M597">
            <v>2015</v>
          </cell>
          <cell r="N597">
            <v>0</v>
          </cell>
          <cell r="O597" t="str">
            <v>Invasivo</v>
          </cell>
          <cell r="Q597" t="str">
            <v>24.10.2025 Cambio de interfase de ECG y cambio del manguito PANI</v>
          </cell>
          <cell r="R597" t="str">
            <v>Semestral</v>
          </cell>
        </row>
        <row r="598">
          <cell r="C598">
            <v>245</v>
          </cell>
          <cell r="D598" t="str">
            <v>2-021537</v>
          </cell>
          <cell r="E598" t="str">
            <v>Monitor Multiparámetros</v>
          </cell>
          <cell r="F598" t="str">
            <v>Pabellón (Recuperación)</v>
          </cell>
          <cell r="G598" t="str">
            <v>Recuperación Pabellón Central</v>
          </cell>
          <cell r="H598" t="str">
            <v>Cama N° 6</v>
          </cell>
          <cell r="I598" t="str">
            <v>Adquirido</v>
          </cell>
          <cell r="J598" t="str">
            <v>Drager</v>
          </cell>
          <cell r="K598" t="str">
            <v>Vista 120</v>
          </cell>
          <cell r="L598" t="str">
            <v>V2SFH0031</v>
          </cell>
          <cell r="M598">
            <v>2015</v>
          </cell>
          <cell r="N598">
            <v>0</v>
          </cell>
          <cell r="O598" t="str">
            <v>Invasivo</v>
          </cell>
          <cell r="Q598" t="str">
            <v>24.10.2025 Cambio de cable ECG, cambio de interfase SPO2</v>
          </cell>
          <cell r="R598" t="str">
            <v>Semestral</v>
          </cell>
        </row>
        <row r="599">
          <cell r="C599">
            <v>246</v>
          </cell>
          <cell r="D599" t="str">
            <v>2-021535</v>
          </cell>
          <cell r="E599" t="str">
            <v>Monitor Multiparámetros</v>
          </cell>
          <cell r="F599" t="str">
            <v>Pabellón (Recuperación)</v>
          </cell>
          <cell r="G599" t="str">
            <v>Recuperación Pabellón Central</v>
          </cell>
          <cell r="H599" t="str">
            <v>Cama N° 8</v>
          </cell>
          <cell r="I599" t="str">
            <v>Adquirido</v>
          </cell>
          <cell r="J599" t="str">
            <v>Drager</v>
          </cell>
          <cell r="K599" t="str">
            <v>Vista 120</v>
          </cell>
          <cell r="L599" t="str">
            <v>V2SFH0035</v>
          </cell>
          <cell r="M599">
            <v>2015</v>
          </cell>
          <cell r="N599">
            <v>0</v>
          </cell>
          <cell r="O599" t="str">
            <v>Invasivo</v>
          </cell>
          <cell r="Q599" t="str">
            <v>17/12/2025 Equipo enviado a ST</v>
          </cell>
          <cell r="R599" t="str">
            <v>Semestral</v>
          </cell>
        </row>
        <row r="600">
          <cell r="C600">
            <v>247</v>
          </cell>
          <cell r="D600" t="str">
            <v>2-021534</v>
          </cell>
          <cell r="E600" t="str">
            <v>Monitor Multiparámetros</v>
          </cell>
          <cell r="F600" t="str">
            <v>Pabellón (Recuperación)</v>
          </cell>
          <cell r="G600" t="str">
            <v>Recuperación Pabellón Central</v>
          </cell>
          <cell r="H600" t="str">
            <v>Oficina Supervisora</v>
          </cell>
          <cell r="I600" t="str">
            <v>Adquirido</v>
          </cell>
          <cell r="J600" t="str">
            <v>Drager</v>
          </cell>
          <cell r="K600" t="str">
            <v>Vista 120</v>
          </cell>
          <cell r="L600" t="str">
            <v>V2SFH0038</v>
          </cell>
          <cell r="M600">
            <v>2015</v>
          </cell>
          <cell r="N600">
            <v>0</v>
          </cell>
          <cell r="O600" t="str">
            <v>Invasivo</v>
          </cell>
          <cell r="R600" t="str">
            <v>Semestral</v>
          </cell>
        </row>
        <row r="601">
          <cell r="C601">
            <v>248</v>
          </cell>
          <cell r="D601" t="str">
            <v>2-021539</v>
          </cell>
          <cell r="E601" t="str">
            <v>Monitor Multiparámetros</v>
          </cell>
          <cell r="F601" t="str">
            <v>Pabellón Quirúrgico (Prestado a Traumatología)</v>
          </cell>
          <cell r="G601" t="str">
            <v>Traumatología</v>
          </cell>
          <cell r="H601" t="str">
            <v>1° Piso</v>
          </cell>
          <cell r="I601" t="str">
            <v>Adquirido</v>
          </cell>
          <cell r="J601" t="str">
            <v>Drager</v>
          </cell>
          <cell r="K601" t="str">
            <v>Vista 120</v>
          </cell>
          <cell r="L601" t="str">
            <v>V2SFH0033</v>
          </cell>
          <cell r="M601">
            <v>2015</v>
          </cell>
          <cell r="N601">
            <v>0</v>
          </cell>
          <cell r="O601" t="str">
            <v>Invasivo</v>
          </cell>
          <cell r="Q601" t="str">
            <v>trazabilidad. Se recomienda cambio de bater√≠a 30-04-2024</v>
          </cell>
        </row>
        <row r="602">
          <cell r="C602">
            <v>249</v>
          </cell>
          <cell r="D602" t="str">
            <v>2-021533</v>
          </cell>
          <cell r="E602" t="str">
            <v>Monitor Multiparámetros</v>
          </cell>
          <cell r="F602" t="str">
            <v>Pabellón (Recuperación)</v>
          </cell>
          <cell r="G602" t="str">
            <v>Recuperación Pabellón Central</v>
          </cell>
          <cell r="H602" t="str">
            <v>Cama N° 4</v>
          </cell>
          <cell r="I602" t="str">
            <v>Adquirido</v>
          </cell>
          <cell r="J602" t="str">
            <v>Drager</v>
          </cell>
          <cell r="K602" t="str">
            <v>Vista 120</v>
          </cell>
          <cell r="L602" t="str">
            <v>V2SFH0019</v>
          </cell>
          <cell r="M602">
            <v>2015</v>
          </cell>
          <cell r="N602">
            <v>0</v>
          </cell>
          <cell r="O602" t="str">
            <v>Invasivo</v>
          </cell>
          <cell r="Q602" t="str">
            <v>23.10.2025 se realiza cambio de manguito PANI</v>
          </cell>
          <cell r="R602" t="str">
            <v>Semestral</v>
          </cell>
        </row>
        <row r="603">
          <cell r="C603">
            <v>250</v>
          </cell>
          <cell r="D603" t="str">
            <v>2-021536</v>
          </cell>
          <cell r="E603" t="str">
            <v>Monitor Multiparámetros</v>
          </cell>
          <cell r="F603" t="str">
            <v>Pabellón (Recuperación)</v>
          </cell>
          <cell r="G603" t="str">
            <v>Recuperación Pabellón Central</v>
          </cell>
          <cell r="H603" t="str">
            <v>Unidad N° 09</v>
          </cell>
          <cell r="I603" t="str">
            <v>Adquirido</v>
          </cell>
          <cell r="J603" t="str">
            <v>Drager</v>
          </cell>
          <cell r="K603" t="str">
            <v>Vista 120</v>
          </cell>
          <cell r="L603" t="str">
            <v>V2SFH0026</v>
          </cell>
          <cell r="M603">
            <v>2015</v>
          </cell>
          <cell r="N603">
            <v>0</v>
          </cell>
          <cell r="O603" t="str">
            <v>Invasivo</v>
          </cell>
          <cell r="Q603" t="str">
            <v>23.10.2025 se realiza reposición de cable ECG e interfase</v>
          </cell>
          <cell r="R603" t="str">
            <v>Semestral</v>
          </cell>
        </row>
        <row r="604">
          <cell r="C604">
            <v>251</v>
          </cell>
          <cell r="D604" t="str">
            <v>2-112548</v>
          </cell>
          <cell r="E604" t="str">
            <v>Monitor Multiparámetros</v>
          </cell>
          <cell r="F604" t="str">
            <v>UPC Adulto</v>
          </cell>
          <cell r="G604" t="str">
            <v>UTI Adulto</v>
          </cell>
          <cell r="H604" t="str">
            <v>BODEGA</v>
          </cell>
          <cell r="I604" t="str">
            <v>Adquirido</v>
          </cell>
          <cell r="J604" t="str">
            <v>Drager</v>
          </cell>
          <cell r="K604" t="str">
            <v>Infinity Delta</v>
          </cell>
          <cell r="L604">
            <v>6006239368</v>
          </cell>
          <cell r="M604">
            <v>2015</v>
          </cell>
          <cell r="N604">
            <v>0</v>
          </cell>
          <cell r="O604" t="str">
            <v>Invasivo</v>
          </cell>
          <cell r="Q604" t="str">
            <v>Equipo es enviado a ST #142</v>
          </cell>
        </row>
        <row r="605">
          <cell r="C605">
            <v>252</v>
          </cell>
          <cell r="D605" t="str">
            <v>2-112542</v>
          </cell>
          <cell r="E605" t="str">
            <v>Monitor Multiparámetros</v>
          </cell>
          <cell r="F605" t="str">
            <v>UPC Adulto</v>
          </cell>
          <cell r="G605" t="str">
            <v>UTI Adulto</v>
          </cell>
          <cell r="H605" t="str">
            <v>BODEGA</v>
          </cell>
          <cell r="I605" t="str">
            <v>Adquirido</v>
          </cell>
          <cell r="J605" t="str">
            <v>Drager</v>
          </cell>
          <cell r="K605" t="str">
            <v>Infinity Delta</v>
          </cell>
          <cell r="L605" t="str">
            <v>6006249963</v>
          </cell>
          <cell r="M605">
            <v>2015</v>
          </cell>
          <cell r="N605">
            <v>0</v>
          </cell>
          <cell r="O605" t="str">
            <v>Invasivo</v>
          </cell>
          <cell r="Q605" t="str">
            <v>Equipo es dado de baja el 03-06-2025 debido a que se reinicia durante el transporte, lleva 14 solicitudes asociadas a la misma falla e incluso fue revisado por Drager, sin encontrar motivo o reparación.</v>
          </cell>
          <cell r="R605" t="str">
            <v>Semestral</v>
          </cell>
        </row>
        <row r="606">
          <cell r="C606">
            <v>253</v>
          </cell>
          <cell r="E606" t="str">
            <v>Monitor Multiparámetros</v>
          </cell>
          <cell r="N606" t="str">
            <v>Disponible</v>
          </cell>
        </row>
        <row r="607">
          <cell r="C607">
            <v>254</v>
          </cell>
          <cell r="D607" t="str">
            <v>2-007496</v>
          </cell>
          <cell r="E607" t="str">
            <v>Monitor Multiparámetros</v>
          </cell>
          <cell r="F607" t="str">
            <v>UPC Adulto</v>
          </cell>
          <cell r="G607" t="str">
            <v>UTI Adulto</v>
          </cell>
          <cell r="H607" t="str">
            <v>BODEGA</v>
          </cell>
          <cell r="I607" t="str">
            <v>Adquirido</v>
          </cell>
          <cell r="J607" t="str">
            <v>Drager</v>
          </cell>
          <cell r="K607" t="str">
            <v>Infinity Delta</v>
          </cell>
          <cell r="L607" t="str">
            <v>6006232874</v>
          </cell>
          <cell r="M607">
            <v>2015</v>
          </cell>
          <cell r="N607">
            <v>0</v>
          </cell>
          <cell r="O607" t="str">
            <v>Invasivo</v>
          </cell>
          <cell r="Q607" t="str">
            <v>Equipo es recibido desde servicio tecncico el 04 de diciembre</v>
          </cell>
          <cell r="R607" t="str">
            <v>Semestral</v>
          </cell>
        </row>
        <row r="608">
          <cell r="C608">
            <v>255</v>
          </cell>
          <cell r="D608" t="str">
            <v>2-028015</v>
          </cell>
          <cell r="E608" t="str">
            <v>Monitor Multiparámetros</v>
          </cell>
          <cell r="F608" t="str">
            <v xml:space="preserve">Urgencia Infantil </v>
          </cell>
          <cell r="G608" t="str">
            <v xml:space="preserve">Urgencia Infantil </v>
          </cell>
          <cell r="I608" t="str">
            <v>Donación</v>
          </cell>
          <cell r="J608" t="str">
            <v xml:space="preserve">Nihon Kohden </v>
          </cell>
          <cell r="K608" t="str">
            <v>Vismo PVM-2703K</v>
          </cell>
          <cell r="L608" t="str">
            <v>0105413.</v>
          </cell>
          <cell r="M608">
            <v>2014</v>
          </cell>
          <cell r="N608">
            <v>-1</v>
          </cell>
          <cell r="O608" t="str">
            <v>No Invasivo</v>
          </cell>
          <cell r="Q608" t="str">
            <v>Falta reporte de traspaso 25-09-24</v>
          </cell>
          <cell r="R608" t="str">
            <v>Semestral</v>
          </cell>
        </row>
        <row r="609">
          <cell r="C609">
            <v>256</v>
          </cell>
          <cell r="D609" t="str">
            <v>2-023575</v>
          </cell>
          <cell r="E609" t="str">
            <v>Monitor Multiparámetros</v>
          </cell>
          <cell r="F609" t="str">
            <v>Urgencia Adulto</v>
          </cell>
          <cell r="G609" t="str">
            <v>Urgencia Adulto</v>
          </cell>
          <cell r="H609" t="str">
            <v>OBS. 3</v>
          </cell>
          <cell r="I609" t="str">
            <v>Donación</v>
          </cell>
          <cell r="J609" t="str">
            <v xml:space="preserve">Nihon Kohden </v>
          </cell>
          <cell r="K609" t="str">
            <v>Vismo PVM-2703K</v>
          </cell>
          <cell r="L609">
            <v>105784</v>
          </cell>
          <cell r="M609">
            <v>2014</v>
          </cell>
          <cell r="N609">
            <v>-1</v>
          </cell>
          <cell r="O609" t="str">
            <v>No Invasivo</v>
          </cell>
          <cell r="R609" t="str">
            <v>Semestral</v>
          </cell>
        </row>
        <row r="610">
          <cell r="C610">
            <v>257</v>
          </cell>
          <cell r="D610" t="str">
            <v>2-112508</v>
          </cell>
          <cell r="E610" t="str">
            <v>Monitor Multiparámetros</v>
          </cell>
          <cell r="F610" t="str">
            <v>Urgencia Infantil</v>
          </cell>
          <cell r="G610" t="str">
            <v>Urgencia Infantil</v>
          </cell>
          <cell r="H610" t="str">
            <v>Reanimación SUI</v>
          </cell>
          <cell r="I610" t="str">
            <v>Donación</v>
          </cell>
          <cell r="J610" t="str">
            <v xml:space="preserve">Nihon Kohden </v>
          </cell>
          <cell r="K610" t="str">
            <v>Vismo PVM-2703K</v>
          </cell>
          <cell r="L610" t="str">
            <v>0105405.</v>
          </cell>
          <cell r="M610">
            <v>2014</v>
          </cell>
          <cell r="N610">
            <v>-1</v>
          </cell>
          <cell r="O610" t="str">
            <v>No Invasivo</v>
          </cell>
          <cell r="Q610" t="str">
            <v>Equipo es recibido desde servicio tecnico</v>
          </cell>
          <cell r="R610" t="str">
            <v>Semestral</v>
          </cell>
        </row>
        <row r="611">
          <cell r="C611">
            <v>258</v>
          </cell>
          <cell r="D611" t="str">
            <v>2-023536</v>
          </cell>
          <cell r="E611" t="str">
            <v>Monitor Multiparámetros</v>
          </cell>
          <cell r="F611" t="str">
            <v>Urgencia Infantil</v>
          </cell>
          <cell r="G611" t="str">
            <v>Urgencia Infantil</v>
          </cell>
          <cell r="H611" t="str">
            <v>Box 2 SAR</v>
          </cell>
          <cell r="I611" t="str">
            <v>Donación</v>
          </cell>
          <cell r="J611" t="str">
            <v xml:space="preserve">Nihon Kohden </v>
          </cell>
          <cell r="K611" t="str">
            <v>Vismo PVM-2703K</v>
          </cell>
          <cell r="L611" t="str">
            <v>0105409.</v>
          </cell>
          <cell r="M611">
            <v>2014</v>
          </cell>
          <cell r="N611">
            <v>-1</v>
          </cell>
          <cell r="O611" t="str">
            <v>No Invasivo</v>
          </cell>
          <cell r="R611" t="str">
            <v>Semestral</v>
          </cell>
        </row>
        <row r="612">
          <cell r="C612">
            <v>259</v>
          </cell>
          <cell r="D612" t="str">
            <v>2-112510</v>
          </cell>
          <cell r="E612" t="str">
            <v>Monitor Multiparámetros</v>
          </cell>
          <cell r="F612" t="str">
            <v>Urgencia Adulto</v>
          </cell>
          <cell r="G612" t="str">
            <v>Urgencia Adulto</v>
          </cell>
          <cell r="H612" t="str">
            <v>Neurocirug√≠a</v>
          </cell>
          <cell r="I612" t="str">
            <v>Donación</v>
          </cell>
          <cell r="J612" t="str">
            <v xml:space="preserve">Nihon Kohden </v>
          </cell>
          <cell r="K612" t="str">
            <v>Vismo PVM-2703K</v>
          </cell>
          <cell r="L612">
            <v>105804</v>
          </cell>
          <cell r="M612">
            <v>2014</v>
          </cell>
          <cell r="N612">
            <v>-1</v>
          </cell>
          <cell r="O612" t="str">
            <v>No Invasivo</v>
          </cell>
          <cell r="R612" t="str">
            <v>Semestral</v>
          </cell>
        </row>
        <row r="613">
          <cell r="C613">
            <v>260</v>
          </cell>
          <cell r="D613" t="str">
            <v>2-112511</v>
          </cell>
          <cell r="E613" t="str">
            <v>Monitor Multiparámetros</v>
          </cell>
          <cell r="F613" t="str">
            <v>Urgencia Adulto</v>
          </cell>
          <cell r="G613" t="str">
            <v>Urgencia Adulto</v>
          </cell>
          <cell r="H613" t="str">
            <v>Box A-5</v>
          </cell>
          <cell r="I613" t="str">
            <v>Donación</v>
          </cell>
          <cell r="J613" t="str">
            <v xml:space="preserve">Nihon Kohden </v>
          </cell>
          <cell r="K613" t="str">
            <v>Vismo PVM-2703K</v>
          </cell>
          <cell r="L613">
            <v>107080</v>
          </cell>
          <cell r="M613">
            <v>2014</v>
          </cell>
          <cell r="N613">
            <v>-1</v>
          </cell>
          <cell r="O613" t="str">
            <v>No Invasivo</v>
          </cell>
          <cell r="Q613" t="str">
            <v>Se realiza cambio de bateria, equipo queda operativo</v>
          </cell>
          <cell r="R613" t="str">
            <v>Semestral</v>
          </cell>
        </row>
        <row r="614">
          <cell r="C614">
            <v>261</v>
          </cell>
          <cell r="D614" t="str">
            <v>2-027994</v>
          </cell>
          <cell r="E614" t="str">
            <v>Monitor Multiparámetros</v>
          </cell>
          <cell r="F614" t="str">
            <v>Urgencia Adulto</v>
          </cell>
          <cell r="G614" t="str">
            <v>Urgencia Adulto</v>
          </cell>
          <cell r="H614" t="str">
            <v>Box A-3</v>
          </cell>
          <cell r="I614" t="str">
            <v>Donación</v>
          </cell>
          <cell r="J614" t="str">
            <v xml:space="preserve">Nihon Kohden </v>
          </cell>
          <cell r="K614" t="str">
            <v>Vismo PVM-2703K</v>
          </cell>
          <cell r="L614">
            <v>107075</v>
          </cell>
          <cell r="M614">
            <v>2014</v>
          </cell>
          <cell r="N614">
            <v>-1</v>
          </cell>
          <cell r="O614" t="str">
            <v>No Invasivo</v>
          </cell>
          <cell r="Q614" t="str">
            <v>Mantencion preventiva, equipo fuera de servicio, problemas con bateria ST 19-17464</v>
          </cell>
          <cell r="R614" t="str">
            <v>Semestral</v>
          </cell>
        </row>
        <row r="615">
          <cell r="C615">
            <v>262</v>
          </cell>
          <cell r="D615" t="str">
            <v>2-112512</v>
          </cell>
          <cell r="E615" t="str">
            <v>Monitor Multiparámetros</v>
          </cell>
          <cell r="F615" t="str">
            <v>Urgencia Infantil</v>
          </cell>
          <cell r="G615" t="str">
            <v>Urgencia Infantil</v>
          </cell>
          <cell r="H615" t="str">
            <v>SUI Observaci√≥n</v>
          </cell>
          <cell r="I615" t="str">
            <v>Donación</v>
          </cell>
          <cell r="J615" t="str">
            <v xml:space="preserve">Nihon Kohden </v>
          </cell>
          <cell r="K615" t="str">
            <v>Vismo PVM-2703K</v>
          </cell>
          <cell r="L615" t="str">
            <v>0107083.</v>
          </cell>
          <cell r="M615">
            <v>2014</v>
          </cell>
          <cell r="N615">
            <v>-1</v>
          </cell>
          <cell r="O615" t="str">
            <v>No Invasivo</v>
          </cell>
          <cell r="R615" t="str">
            <v>Semestral</v>
          </cell>
        </row>
        <row r="616">
          <cell r="C616">
            <v>263</v>
          </cell>
          <cell r="E616" t="str">
            <v>Monitor Multiparámetros</v>
          </cell>
          <cell r="N616" t="str">
            <v>Disponible</v>
          </cell>
        </row>
        <row r="617">
          <cell r="C617">
            <v>264</v>
          </cell>
          <cell r="D617" t="str">
            <v>2-028043</v>
          </cell>
          <cell r="E617" t="str">
            <v>Monitor Multiparámetros</v>
          </cell>
          <cell r="F617" t="str">
            <v>Urgencia Infantil</v>
          </cell>
          <cell r="G617" t="str">
            <v>Urgencia Infantil</v>
          </cell>
          <cell r="H617" t="str">
            <v>SUI Sala IRA</v>
          </cell>
          <cell r="I617" t="str">
            <v>Donación</v>
          </cell>
          <cell r="J617" t="str">
            <v xml:space="preserve">Nihon Kohden </v>
          </cell>
          <cell r="K617" t="str">
            <v>Vismo PVM-2703K</v>
          </cell>
          <cell r="L617" t="str">
            <v>0107101.</v>
          </cell>
          <cell r="M617">
            <v>2014</v>
          </cell>
          <cell r="N617">
            <v>-1</v>
          </cell>
          <cell r="O617" t="str">
            <v>No Invasivo</v>
          </cell>
          <cell r="R617" t="str">
            <v>Semestral</v>
          </cell>
        </row>
        <row r="618">
          <cell r="C618">
            <v>265</v>
          </cell>
          <cell r="D618" t="str">
            <v>2-112514</v>
          </cell>
          <cell r="E618" t="str">
            <v>Monitor Multiparámetros</v>
          </cell>
          <cell r="F618" t="str">
            <v>Urgencia Infantil</v>
          </cell>
          <cell r="G618" t="str">
            <v>Urgencia Infantil</v>
          </cell>
          <cell r="H618" t="str">
            <v>Bodega Equipos SUI</v>
          </cell>
          <cell r="I618" t="str">
            <v>Donación</v>
          </cell>
          <cell r="J618" t="str">
            <v xml:space="preserve">Nihon Kohden </v>
          </cell>
          <cell r="K618" t="str">
            <v>Vismo PVM-2703K</v>
          </cell>
          <cell r="L618" t="str">
            <v>0107093.</v>
          </cell>
          <cell r="M618">
            <v>2014</v>
          </cell>
          <cell r="N618">
            <v>-1</v>
          </cell>
          <cell r="O618" t="str">
            <v>No Invasivo</v>
          </cell>
          <cell r="R618" t="str">
            <v>Semestral</v>
          </cell>
        </row>
        <row r="619">
          <cell r="C619">
            <v>266</v>
          </cell>
          <cell r="D619" t="str">
            <v>2-112515</v>
          </cell>
          <cell r="E619" t="str">
            <v>Monitor Multiparámetros</v>
          </cell>
          <cell r="F619" t="str">
            <v>Urgencia Infantil</v>
          </cell>
          <cell r="G619" t="str">
            <v>Urgencia Infantil</v>
          </cell>
          <cell r="H619" t="str">
            <v>Bodega Equipos SUI</v>
          </cell>
          <cell r="I619" t="str">
            <v>Donación</v>
          </cell>
          <cell r="J619" t="str">
            <v xml:space="preserve">Nihon Kohden </v>
          </cell>
          <cell r="K619" t="str">
            <v>Vismo PVM-2703K</v>
          </cell>
          <cell r="L619" t="str">
            <v>0107077.</v>
          </cell>
          <cell r="M619">
            <v>2014</v>
          </cell>
          <cell r="N619">
            <v>-1</v>
          </cell>
          <cell r="O619" t="str">
            <v>No Invasivo</v>
          </cell>
          <cell r="Q619" t="str">
            <v>Falta reporte de traspaso 25-09-24</v>
          </cell>
          <cell r="R619" t="str">
            <v>Semestral</v>
          </cell>
        </row>
        <row r="620">
          <cell r="C620">
            <v>267</v>
          </cell>
          <cell r="D620" t="str">
            <v>2-022372</v>
          </cell>
          <cell r="E620" t="str">
            <v>Monitor Multiparámetros</v>
          </cell>
          <cell r="F620" t="str">
            <v>Urgencias Gineco-Obstétricas</v>
          </cell>
          <cell r="G620" t="str">
            <v>Urgencia Obstétrica</v>
          </cell>
          <cell r="I620" t="str">
            <v>Donación</v>
          </cell>
          <cell r="J620" t="str">
            <v xml:space="preserve">Nihon Kohden </v>
          </cell>
          <cell r="K620" t="str">
            <v>Vismo PVM-2703K</v>
          </cell>
          <cell r="L620">
            <v>107076</v>
          </cell>
          <cell r="M620">
            <v>2014</v>
          </cell>
          <cell r="N620">
            <v>-1</v>
          </cell>
          <cell r="O620" t="str">
            <v>No Invasivo</v>
          </cell>
          <cell r="R620" t="str">
            <v>Semestral</v>
          </cell>
        </row>
        <row r="621">
          <cell r="C621">
            <v>268</v>
          </cell>
          <cell r="D621" t="str">
            <v>2-015816</v>
          </cell>
          <cell r="E621" t="str">
            <v>Monitor Multiparámetros</v>
          </cell>
          <cell r="F621" t="str">
            <v>Urgencias Gineco-Obstétricas</v>
          </cell>
          <cell r="G621" t="str">
            <v>Urgencia Obstétrica</v>
          </cell>
          <cell r="H621" t="str">
            <v>Preparto</v>
          </cell>
          <cell r="I621" t="str">
            <v>Donación</v>
          </cell>
          <cell r="J621" t="str">
            <v xml:space="preserve">Nihon Kohden </v>
          </cell>
          <cell r="K621" t="str">
            <v>Vismo PVM-2703K</v>
          </cell>
          <cell r="L621">
            <v>107110</v>
          </cell>
          <cell r="M621">
            <v>2014</v>
          </cell>
          <cell r="N621">
            <v>-1</v>
          </cell>
          <cell r="O621" t="str">
            <v>No Invasivo</v>
          </cell>
          <cell r="R621" t="str">
            <v>Semestral</v>
          </cell>
        </row>
        <row r="622">
          <cell r="C622">
            <v>269</v>
          </cell>
          <cell r="D622" t="str">
            <v>2-112516</v>
          </cell>
          <cell r="E622" t="str">
            <v>Monitor Multiparámetros</v>
          </cell>
          <cell r="F622" t="str">
            <v>Peritoneodiálisis Adulto</v>
          </cell>
          <cell r="G622" t="str">
            <v>Peritoneodiálisis Adulto</v>
          </cell>
          <cell r="H622" t="str">
            <v>Sala de equipos</v>
          </cell>
          <cell r="I622" t="str">
            <v>Donación</v>
          </cell>
          <cell r="J622" t="str">
            <v>Philips</v>
          </cell>
          <cell r="K622" t="str">
            <v>G70</v>
          </cell>
          <cell r="L622" t="str">
            <v>CN23200081</v>
          </cell>
          <cell r="M622">
            <v>2015</v>
          </cell>
          <cell r="N622">
            <v>0</v>
          </cell>
          <cell r="O622" t="str">
            <v>Invasivo</v>
          </cell>
          <cell r="R622" t="str">
            <v>Semestral</v>
          </cell>
        </row>
        <row r="623">
          <cell r="C623">
            <v>270</v>
          </cell>
          <cell r="D623" t="str">
            <v>2-112517</v>
          </cell>
          <cell r="E623" t="str">
            <v>Monitor Multiparámetros</v>
          </cell>
          <cell r="F623" t="str">
            <v>Urgencia Adulto</v>
          </cell>
          <cell r="G623" t="str">
            <v>Urgencia Adulto</v>
          </cell>
          <cell r="H623" t="str">
            <v xml:space="preserve">Box 0 </v>
          </cell>
          <cell r="I623" t="str">
            <v>Donación</v>
          </cell>
          <cell r="J623" t="str">
            <v>Philips</v>
          </cell>
          <cell r="K623" t="str">
            <v>G70</v>
          </cell>
          <cell r="L623" t="str">
            <v>CN23200082</v>
          </cell>
          <cell r="M623">
            <v>2015</v>
          </cell>
          <cell r="N623">
            <v>0</v>
          </cell>
          <cell r="O623" t="str">
            <v>Invasivo</v>
          </cell>
          <cell r="R623" t="str">
            <v>Semestral</v>
          </cell>
        </row>
        <row r="624">
          <cell r="C624">
            <v>271</v>
          </cell>
          <cell r="D624" t="str">
            <v>2-023482</v>
          </cell>
          <cell r="E624" t="str">
            <v>Monitor Multiparámetros</v>
          </cell>
          <cell r="F624" t="str">
            <v>Urgencia Adulto</v>
          </cell>
          <cell r="G624" t="str">
            <v>Urgencia Adulto</v>
          </cell>
          <cell r="H624" t="str">
            <v>Sala de equipos</v>
          </cell>
          <cell r="I624" t="str">
            <v>Adquirido</v>
          </cell>
          <cell r="J624" t="str">
            <v>Drager</v>
          </cell>
          <cell r="K624" t="str">
            <v>Vista 120</v>
          </cell>
          <cell r="L624" t="str">
            <v>VTSHD0109</v>
          </cell>
          <cell r="M624">
            <v>2015</v>
          </cell>
          <cell r="N624">
            <v>0</v>
          </cell>
          <cell r="O624" t="str">
            <v>Invasivo</v>
          </cell>
          <cell r="R624" t="str">
            <v>Semestral</v>
          </cell>
        </row>
        <row r="625">
          <cell r="C625">
            <v>272</v>
          </cell>
          <cell r="D625" t="str">
            <v>2-016543</v>
          </cell>
          <cell r="E625" t="str">
            <v>Monitor Multiparámetros</v>
          </cell>
          <cell r="F625" t="str">
            <v>Neurocirugía</v>
          </cell>
          <cell r="G625" t="str">
            <v>Neurocirugía</v>
          </cell>
          <cell r="H625" t="str">
            <v>Portatil</v>
          </cell>
          <cell r="I625" t="str">
            <v>Adquirido</v>
          </cell>
          <cell r="J625" t="str">
            <v>Drager</v>
          </cell>
          <cell r="K625" t="str">
            <v>Vista 120</v>
          </cell>
          <cell r="L625" t="str">
            <v>VTSHD0102</v>
          </cell>
          <cell r="M625">
            <v>2015</v>
          </cell>
          <cell r="N625">
            <v>0</v>
          </cell>
          <cell r="O625" t="str">
            <v>Invasivo</v>
          </cell>
          <cell r="R625" t="str">
            <v>Semestral</v>
          </cell>
        </row>
        <row r="626">
          <cell r="C626">
            <v>273</v>
          </cell>
          <cell r="D626" t="str">
            <v>2-027894</v>
          </cell>
          <cell r="E626" t="str">
            <v>Monitor Multiparámetros</v>
          </cell>
          <cell r="F626" t="str">
            <v>Cirugía Adulto</v>
          </cell>
          <cell r="G626" t="str">
            <v>Cirugia Adulto - Piso 3</v>
          </cell>
          <cell r="H626" t="str">
            <v>EPA</v>
          </cell>
          <cell r="I626" t="str">
            <v>Adquirido</v>
          </cell>
          <cell r="J626" t="str">
            <v>Drager</v>
          </cell>
          <cell r="K626" t="str">
            <v>Vista 120</v>
          </cell>
          <cell r="L626" t="str">
            <v>VTSHD0071</v>
          </cell>
          <cell r="M626">
            <v>2015</v>
          </cell>
          <cell r="N626">
            <v>0</v>
          </cell>
          <cell r="O626" t="str">
            <v>Invasivo</v>
          </cell>
          <cell r="R626" t="str">
            <v>Semestral</v>
          </cell>
        </row>
        <row r="627">
          <cell r="C627">
            <v>274</v>
          </cell>
          <cell r="D627" t="str">
            <v>2-023481</v>
          </cell>
          <cell r="E627" t="str">
            <v>Monitor Multiparámetros</v>
          </cell>
          <cell r="F627" t="str">
            <v>Pediatría</v>
          </cell>
          <cell r="G627" t="str">
            <v>Pediatría Segunda Infancia</v>
          </cell>
          <cell r="H627" t="str">
            <v>Segunda infancia</v>
          </cell>
          <cell r="I627" t="str">
            <v>Adquirido</v>
          </cell>
          <cell r="J627" t="str">
            <v>Drager</v>
          </cell>
          <cell r="K627" t="str">
            <v>Vista 120</v>
          </cell>
          <cell r="L627" t="str">
            <v>VTSHD0101</v>
          </cell>
          <cell r="M627">
            <v>2015</v>
          </cell>
          <cell r="N627">
            <v>0</v>
          </cell>
          <cell r="O627" t="str">
            <v>Invasivo</v>
          </cell>
          <cell r="R627" t="str">
            <v>Semestral</v>
          </cell>
        </row>
        <row r="628">
          <cell r="C628">
            <v>275</v>
          </cell>
          <cell r="D628" t="str">
            <v>2-016540</v>
          </cell>
          <cell r="E628" t="str">
            <v>Monitor Multiparámetros</v>
          </cell>
          <cell r="F628" t="str">
            <v>Neurocirugía</v>
          </cell>
          <cell r="G628" t="str">
            <v>Neurocirugía</v>
          </cell>
          <cell r="H628" t="str">
            <v>Cama 299-5</v>
          </cell>
          <cell r="I628" t="str">
            <v>Adquirido</v>
          </cell>
          <cell r="J628" t="str">
            <v>Drager</v>
          </cell>
          <cell r="K628" t="str">
            <v>Vista 120</v>
          </cell>
          <cell r="L628" t="str">
            <v>VTSHD0089</v>
          </cell>
          <cell r="M628">
            <v>2015</v>
          </cell>
          <cell r="N628">
            <v>0</v>
          </cell>
          <cell r="O628" t="str">
            <v>Invasivo</v>
          </cell>
          <cell r="R628" t="str">
            <v>Semestral</v>
          </cell>
        </row>
        <row r="629">
          <cell r="C629">
            <v>276</v>
          </cell>
          <cell r="D629" t="str">
            <v>2-027910</v>
          </cell>
          <cell r="E629" t="str">
            <v>Monitor Multiparámetros</v>
          </cell>
          <cell r="F629" t="str">
            <v>Pediatría</v>
          </cell>
          <cell r="G629" t="str">
            <v>Pediatría Lactantes</v>
          </cell>
          <cell r="H629" t="str">
            <v>Lactantes</v>
          </cell>
          <cell r="I629" t="str">
            <v>Adquirido</v>
          </cell>
          <cell r="J629" t="str">
            <v>Drager</v>
          </cell>
          <cell r="K629" t="str">
            <v>Vista 120</v>
          </cell>
          <cell r="L629" t="str">
            <v>VTSHD0103</v>
          </cell>
          <cell r="M629">
            <v>2015</v>
          </cell>
          <cell r="N629">
            <v>0</v>
          </cell>
          <cell r="O629" t="str">
            <v>Invasivo</v>
          </cell>
          <cell r="R629" t="str">
            <v>Semestral</v>
          </cell>
        </row>
        <row r="630">
          <cell r="C630">
            <v>277</v>
          </cell>
          <cell r="D630" t="str">
            <v>2-023478</v>
          </cell>
          <cell r="E630" t="str">
            <v>Monitor Multiparámetros</v>
          </cell>
          <cell r="F630" t="str">
            <v>Urgencia Adulto (Prestado a Cirugía Adulto)</v>
          </cell>
          <cell r="G630" t="str">
            <v>Cirugía Adulto - Piso 7</v>
          </cell>
          <cell r="H630" t="str">
            <v>Sala 714</v>
          </cell>
          <cell r="I630" t="str">
            <v>Adquirido</v>
          </cell>
          <cell r="J630" t="str">
            <v>Drager</v>
          </cell>
          <cell r="K630" t="str">
            <v>Vista 120</v>
          </cell>
          <cell r="L630" t="str">
            <v>VTSHD0068</v>
          </cell>
          <cell r="M630">
            <v>2015</v>
          </cell>
          <cell r="N630">
            <v>0</v>
          </cell>
          <cell r="O630" t="str">
            <v>Invasivo</v>
          </cell>
          <cell r="Q630" t="str">
            <v>trazabilidad. Traspaso temporal 21-03-24</v>
          </cell>
          <cell r="R630" t="str">
            <v>Semestral</v>
          </cell>
        </row>
        <row r="631">
          <cell r="C631">
            <v>278</v>
          </cell>
          <cell r="D631" t="str">
            <v>2-016544</v>
          </cell>
          <cell r="E631" t="str">
            <v>Monitor Multiparámetros</v>
          </cell>
          <cell r="F631" t="str">
            <v>Cirugía Adulto</v>
          </cell>
          <cell r="G631" t="str">
            <v>Cirugia Adulto - Piso 7</v>
          </cell>
          <cell r="H631" t="str">
            <v>TNB 701</v>
          </cell>
          <cell r="I631" t="str">
            <v>Adquirido</v>
          </cell>
          <cell r="J631" t="str">
            <v>Drager</v>
          </cell>
          <cell r="K631" t="str">
            <v>Vista 120</v>
          </cell>
          <cell r="L631" t="str">
            <v>VTSHD0090</v>
          </cell>
          <cell r="M631">
            <v>2015</v>
          </cell>
          <cell r="N631">
            <v>0</v>
          </cell>
          <cell r="O631" t="str">
            <v>Invasivo</v>
          </cell>
          <cell r="R631" t="str">
            <v>Semestral</v>
          </cell>
        </row>
        <row r="632">
          <cell r="C632">
            <v>279</v>
          </cell>
          <cell r="D632" t="str">
            <v>2-023479</v>
          </cell>
          <cell r="E632" t="str">
            <v>Monitor Multiparámetros</v>
          </cell>
          <cell r="F632" t="str">
            <v>Medicina</v>
          </cell>
          <cell r="G632" t="str">
            <v>Medicina interna - 5to piso</v>
          </cell>
          <cell r="H632" t="str">
            <v>595-4</v>
          </cell>
          <cell r="I632" t="str">
            <v>Adquirido</v>
          </cell>
          <cell r="J632" t="str">
            <v>Drager</v>
          </cell>
          <cell r="K632" t="str">
            <v>Vista 120</v>
          </cell>
          <cell r="L632" t="str">
            <v>VTSHD0065</v>
          </cell>
          <cell r="M632">
            <v>2015</v>
          </cell>
          <cell r="N632">
            <v>0</v>
          </cell>
          <cell r="O632" t="str">
            <v>Invasivo</v>
          </cell>
          <cell r="R632" t="str">
            <v>Semestral</v>
          </cell>
        </row>
        <row r="633">
          <cell r="C633">
            <v>280</v>
          </cell>
          <cell r="D633" t="str">
            <v>2-027909</v>
          </cell>
          <cell r="E633" t="str">
            <v>Monitor Multiparámetros</v>
          </cell>
          <cell r="F633" t="str">
            <v>Quimioterapia Ambulatoria Adulto</v>
          </cell>
          <cell r="G633" t="str">
            <v>QMT Ambulatoria Adulto</v>
          </cell>
          <cell r="H633" t="str">
            <v>EPC-P2</v>
          </cell>
          <cell r="I633" t="str">
            <v>Adquirido</v>
          </cell>
          <cell r="J633" t="str">
            <v>Drager</v>
          </cell>
          <cell r="K633" t="str">
            <v>Vista 120</v>
          </cell>
          <cell r="L633" t="str">
            <v>VTSHD0051</v>
          </cell>
          <cell r="M633">
            <v>2015</v>
          </cell>
          <cell r="N633">
            <v>0</v>
          </cell>
          <cell r="O633" t="str">
            <v>Invasivo</v>
          </cell>
          <cell r="R633" t="str">
            <v>Semestral</v>
          </cell>
        </row>
        <row r="634">
          <cell r="C634">
            <v>281</v>
          </cell>
          <cell r="D634" t="str">
            <v>2-023477</v>
          </cell>
          <cell r="E634" t="str">
            <v>Monitor Multiparámetros</v>
          </cell>
          <cell r="F634" t="str">
            <v>Medicina</v>
          </cell>
          <cell r="G634" t="str">
            <v>Medicina interna - 5to piso</v>
          </cell>
          <cell r="H634" t="str">
            <v>516-1</v>
          </cell>
          <cell r="I634" t="str">
            <v>Adquirido</v>
          </cell>
          <cell r="J634" t="str">
            <v>Drager</v>
          </cell>
          <cell r="K634" t="str">
            <v>Vista 120</v>
          </cell>
          <cell r="L634" t="str">
            <v>VTSHD0072</v>
          </cell>
          <cell r="M634">
            <v>2015</v>
          </cell>
          <cell r="N634">
            <v>0</v>
          </cell>
          <cell r="O634" t="str">
            <v>Invasivo</v>
          </cell>
          <cell r="R634" t="str">
            <v>Semestral</v>
          </cell>
        </row>
        <row r="635">
          <cell r="C635">
            <v>282</v>
          </cell>
          <cell r="D635" t="str">
            <v>2-016538</v>
          </cell>
          <cell r="E635" t="str">
            <v>Monitor Multiparámetros</v>
          </cell>
          <cell r="F635" t="str">
            <v>Medicina</v>
          </cell>
          <cell r="G635" t="str">
            <v>Medicina interna - 5to piso</v>
          </cell>
          <cell r="H635" t="str">
            <v>509-1</v>
          </cell>
          <cell r="I635" t="str">
            <v>Adquirido</v>
          </cell>
          <cell r="J635" t="str">
            <v>Drager</v>
          </cell>
          <cell r="K635" t="str">
            <v>Vista 120</v>
          </cell>
          <cell r="L635" t="str">
            <v>VTSHD0070</v>
          </cell>
          <cell r="M635">
            <v>2015</v>
          </cell>
          <cell r="N635">
            <v>0</v>
          </cell>
          <cell r="O635" t="str">
            <v>Invasivo</v>
          </cell>
          <cell r="R635" t="str">
            <v>Semestral</v>
          </cell>
        </row>
        <row r="636">
          <cell r="C636">
            <v>283</v>
          </cell>
          <cell r="D636" t="str">
            <v>2-016539</v>
          </cell>
          <cell r="E636" t="str">
            <v>Monitor Multiparámetros</v>
          </cell>
          <cell r="F636" t="str">
            <v>Medicina</v>
          </cell>
          <cell r="G636" t="str">
            <v>Medicina interna - 5to piso</v>
          </cell>
          <cell r="H636" t="str">
            <v>527-1</v>
          </cell>
          <cell r="I636" t="str">
            <v>Adquirido</v>
          </cell>
          <cell r="J636" t="str">
            <v>Drager</v>
          </cell>
          <cell r="K636" t="str">
            <v>Vista 120</v>
          </cell>
          <cell r="L636" t="str">
            <v>VTSHD0106</v>
          </cell>
          <cell r="M636">
            <v>2015</v>
          </cell>
          <cell r="N636">
            <v>0</v>
          </cell>
          <cell r="O636" t="str">
            <v>Invasivo</v>
          </cell>
          <cell r="R636" t="str">
            <v>Semestral</v>
          </cell>
        </row>
        <row r="637">
          <cell r="C637">
            <v>284</v>
          </cell>
          <cell r="D637" t="str">
            <v>2-016551</v>
          </cell>
          <cell r="E637" t="str">
            <v>Monitor Multiparámetros</v>
          </cell>
          <cell r="F637" t="str">
            <v>Neurocirugía</v>
          </cell>
          <cell r="G637" t="str">
            <v>Neurocirugía</v>
          </cell>
          <cell r="H637" t="str">
            <v>Portatil</v>
          </cell>
          <cell r="I637" t="str">
            <v>Adquirido</v>
          </cell>
          <cell r="J637" t="str">
            <v>Drager</v>
          </cell>
          <cell r="K637" t="str">
            <v>Vista 120</v>
          </cell>
          <cell r="L637" t="str">
            <v>VTSHD0107</v>
          </cell>
          <cell r="M637">
            <v>2015</v>
          </cell>
          <cell r="N637">
            <v>0</v>
          </cell>
          <cell r="O637" t="str">
            <v>Invasivo</v>
          </cell>
          <cell r="R637" t="str">
            <v>Semestral</v>
          </cell>
        </row>
        <row r="638">
          <cell r="C638">
            <v>285</v>
          </cell>
          <cell r="D638" t="str">
            <v>2-023480</v>
          </cell>
          <cell r="E638" t="str">
            <v>Monitor Multiparámetros</v>
          </cell>
          <cell r="F638" t="str">
            <v>Cirugía Adulto</v>
          </cell>
          <cell r="G638" t="str">
            <v>Cirugia Adulto - Piso 3</v>
          </cell>
          <cell r="H638" t="str">
            <v>EPB</v>
          </cell>
          <cell r="I638" t="str">
            <v>Adquirido</v>
          </cell>
          <cell r="J638" t="str">
            <v>Drager</v>
          </cell>
          <cell r="K638" t="str">
            <v>Vista 120</v>
          </cell>
          <cell r="L638" t="str">
            <v>VTSHD0096</v>
          </cell>
          <cell r="M638">
            <v>2015</v>
          </cell>
          <cell r="N638">
            <v>0</v>
          </cell>
          <cell r="O638" t="str">
            <v>Invasivo</v>
          </cell>
          <cell r="R638" t="str">
            <v>Semestral</v>
          </cell>
        </row>
        <row r="639">
          <cell r="C639">
            <v>286</v>
          </cell>
          <cell r="D639" t="str">
            <v>2-016541</v>
          </cell>
          <cell r="E639" t="str">
            <v>Monitor Multiparámetros</v>
          </cell>
          <cell r="F639" t="str">
            <v>Medicina</v>
          </cell>
          <cell r="G639" t="str">
            <v>Medicina interna - 5to piso</v>
          </cell>
          <cell r="H639" t="str">
            <v>529-3</v>
          </cell>
          <cell r="I639" t="str">
            <v>Adquirido</v>
          </cell>
          <cell r="J639" t="str">
            <v>Drager</v>
          </cell>
          <cell r="K639" t="str">
            <v>Vista 120</v>
          </cell>
          <cell r="L639" t="str">
            <v>VTSHD0094</v>
          </cell>
          <cell r="M639">
            <v>2015</v>
          </cell>
          <cell r="N639">
            <v>0</v>
          </cell>
          <cell r="O639" t="str">
            <v>Invasivo</v>
          </cell>
          <cell r="R639" t="str">
            <v>Semestral</v>
          </cell>
        </row>
        <row r="640">
          <cell r="C640">
            <v>287</v>
          </cell>
          <cell r="D640" t="str">
            <v>2-016542</v>
          </cell>
          <cell r="E640" t="str">
            <v>Monitor Multiparámetros</v>
          </cell>
          <cell r="F640" t="str">
            <v>Neurocirugía</v>
          </cell>
          <cell r="G640" t="str">
            <v>Neurocirugía</v>
          </cell>
          <cell r="H640" t="str">
            <v>Cama 299-4</v>
          </cell>
          <cell r="I640" t="str">
            <v>Adquirido</v>
          </cell>
          <cell r="J640" t="str">
            <v>Drager</v>
          </cell>
          <cell r="K640" t="str">
            <v>Vista 120</v>
          </cell>
          <cell r="L640" t="str">
            <v>VTSHD0111</v>
          </cell>
          <cell r="M640">
            <v>2015</v>
          </cell>
          <cell r="N640">
            <v>0</v>
          </cell>
          <cell r="O640" t="str">
            <v>Invasivo</v>
          </cell>
          <cell r="Q640" t="str">
            <v>Se recomienda cambio de bater√≠a 11-09-24</v>
          </cell>
          <cell r="R640" t="str">
            <v>Semestral</v>
          </cell>
        </row>
        <row r="641">
          <cell r="C641">
            <v>288</v>
          </cell>
          <cell r="D641" t="str">
            <v>2-117050</v>
          </cell>
          <cell r="E641" t="str">
            <v>Monitor Multiparámetros</v>
          </cell>
          <cell r="F641" t="str">
            <v>Pabellones Gineco-Obstétricos</v>
          </cell>
          <cell r="G641" t="str">
            <v>Pabellones Gineco-Obstétricos</v>
          </cell>
          <cell r="I641" t="str">
            <v>adquirido</v>
          </cell>
          <cell r="J641" t="str">
            <v>Philips</v>
          </cell>
          <cell r="K641" t="str">
            <v>MX450</v>
          </cell>
          <cell r="L641" t="str">
            <v>DE351C1469</v>
          </cell>
          <cell r="M641">
            <v>2018</v>
          </cell>
          <cell r="N641">
            <v>3</v>
          </cell>
          <cell r="O641" t="str">
            <v>Invasivo</v>
          </cell>
          <cell r="R641" t="str">
            <v>Semestral</v>
          </cell>
        </row>
        <row r="642">
          <cell r="C642">
            <v>289</v>
          </cell>
          <cell r="D642" t="str">
            <v>2-013293</v>
          </cell>
          <cell r="E642" t="str">
            <v>Monitor Multiparámetros</v>
          </cell>
          <cell r="F642" t="str">
            <v>Neurocirugía</v>
          </cell>
          <cell r="G642" t="str">
            <v>Neurocirugía</v>
          </cell>
          <cell r="H642" t="str">
            <v>Cama 299-3</v>
          </cell>
          <cell r="I642" t="str">
            <v>Adquirido</v>
          </cell>
          <cell r="J642" t="str">
            <v>Drager</v>
          </cell>
          <cell r="K642" t="str">
            <v>Vista 120</v>
          </cell>
          <cell r="L642" t="str">
            <v>VTSHD0066</v>
          </cell>
          <cell r="M642">
            <v>2015</v>
          </cell>
          <cell r="N642">
            <v>0</v>
          </cell>
          <cell r="O642" t="str">
            <v>Invasivo</v>
          </cell>
          <cell r="R642" t="str">
            <v>Semestral</v>
          </cell>
        </row>
        <row r="643">
          <cell r="C643">
            <v>290</v>
          </cell>
          <cell r="D643" t="str">
            <v>2-004769</v>
          </cell>
          <cell r="E643" t="str">
            <v>Monitor Multiparámetros</v>
          </cell>
          <cell r="F643" t="str">
            <v>Pediatría</v>
          </cell>
          <cell r="G643" t="str">
            <v>Pediatría Oncológica</v>
          </cell>
          <cell r="H643" t="str">
            <v>Oncología Pediátrica</v>
          </cell>
          <cell r="I643" t="str">
            <v>Adquirido</v>
          </cell>
          <cell r="J643" t="str">
            <v>Drager</v>
          </cell>
          <cell r="K643" t="str">
            <v>Vista 120</v>
          </cell>
          <cell r="L643" t="str">
            <v>VTSHD0099</v>
          </cell>
          <cell r="M643">
            <v>2015</v>
          </cell>
          <cell r="N643">
            <v>0</v>
          </cell>
          <cell r="O643" t="str">
            <v>Invasivo</v>
          </cell>
          <cell r="R643" t="str">
            <v>Semestral</v>
          </cell>
        </row>
        <row r="644">
          <cell r="C644">
            <v>291</v>
          </cell>
          <cell r="D644" t="str">
            <v>2-110948</v>
          </cell>
          <cell r="E644" t="str">
            <v>Monitor Multiparámetros</v>
          </cell>
          <cell r="F644" t="str">
            <v>Neonatología</v>
          </cell>
          <cell r="G644" t="str">
            <v>UTI Neonatología</v>
          </cell>
          <cell r="I644" t="str">
            <v>Adquirido</v>
          </cell>
          <cell r="J644" t="str">
            <v>Drager</v>
          </cell>
          <cell r="K644" t="str">
            <v>Vista 120</v>
          </cell>
          <cell r="L644" t="str">
            <v>VQSHD0069</v>
          </cell>
          <cell r="M644">
            <v>2016</v>
          </cell>
          <cell r="N644">
            <v>1</v>
          </cell>
          <cell r="O644" t="str">
            <v>Invasivo</v>
          </cell>
          <cell r="R644" t="str">
            <v>Semestral</v>
          </cell>
        </row>
        <row r="645">
          <cell r="C645">
            <v>292</v>
          </cell>
          <cell r="D645" t="str">
            <v>2-110843</v>
          </cell>
          <cell r="E645" t="str">
            <v>Monitor Multiparámetros</v>
          </cell>
          <cell r="F645" t="str">
            <v>Neonatología</v>
          </cell>
          <cell r="G645" t="str">
            <v>UTI Neonatología</v>
          </cell>
          <cell r="I645" t="str">
            <v>Adquirido</v>
          </cell>
          <cell r="J645" t="str">
            <v>Drager</v>
          </cell>
          <cell r="K645" t="str">
            <v>Vista 120</v>
          </cell>
          <cell r="L645" t="str">
            <v>VQSHD0088</v>
          </cell>
          <cell r="M645">
            <v>2016</v>
          </cell>
          <cell r="N645">
            <v>1</v>
          </cell>
          <cell r="O645" t="str">
            <v>Invasivo</v>
          </cell>
          <cell r="R645" t="str">
            <v>Semestral</v>
          </cell>
        </row>
        <row r="646">
          <cell r="C646">
            <v>293</v>
          </cell>
          <cell r="D646" t="str">
            <v>2-110831</v>
          </cell>
          <cell r="E646" t="str">
            <v>Monitor Multiparámetros</v>
          </cell>
          <cell r="F646" t="str">
            <v>Neonatología</v>
          </cell>
          <cell r="G646" t="str">
            <v>UTI Neonatología</v>
          </cell>
          <cell r="I646" t="str">
            <v>Adquirido</v>
          </cell>
          <cell r="J646" t="str">
            <v>Drager</v>
          </cell>
          <cell r="K646" t="str">
            <v>Vista 120</v>
          </cell>
          <cell r="L646" t="str">
            <v>VQSHD0103</v>
          </cell>
          <cell r="M646">
            <v>2016</v>
          </cell>
          <cell r="N646">
            <v>1</v>
          </cell>
          <cell r="O646" t="str">
            <v>Invasivo</v>
          </cell>
          <cell r="R646" t="str">
            <v>Semestral</v>
          </cell>
        </row>
        <row r="647">
          <cell r="C647">
            <v>294</v>
          </cell>
          <cell r="D647" t="str">
            <v>2-110838</v>
          </cell>
          <cell r="E647" t="str">
            <v>Monitor Multiparámetros</v>
          </cell>
          <cell r="F647" t="str">
            <v>Neonatología</v>
          </cell>
          <cell r="G647" t="str">
            <v>UTI Neonatología</v>
          </cell>
          <cell r="I647" t="str">
            <v>Adquirido</v>
          </cell>
          <cell r="J647" t="str">
            <v>Drager</v>
          </cell>
          <cell r="K647" t="str">
            <v>Vista 120</v>
          </cell>
          <cell r="L647" t="str">
            <v>VQSHD0120</v>
          </cell>
          <cell r="M647">
            <v>2016</v>
          </cell>
          <cell r="N647">
            <v>1</v>
          </cell>
          <cell r="O647" t="str">
            <v>Invasivo</v>
          </cell>
          <cell r="R647" t="str">
            <v>Semestral</v>
          </cell>
        </row>
        <row r="648">
          <cell r="C648">
            <v>295</v>
          </cell>
          <cell r="D648" t="str">
            <v>2-110834</v>
          </cell>
          <cell r="E648" t="str">
            <v>Monitor Multiparámetros</v>
          </cell>
          <cell r="F648" t="str">
            <v>Neonatología</v>
          </cell>
          <cell r="G648" t="str">
            <v>UTI Neonatología</v>
          </cell>
          <cell r="I648" t="str">
            <v>Adquirido</v>
          </cell>
          <cell r="J648" t="str">
            <v>Drager</v>
          </cell>
          <cell r="K648" t="str">
            <v>Vista 120</v>
          </cell>
          <cell r="L648" t="str">
            <v>VQSHD0122</v>
          </cell>
          <cell r="M648">
            <v>2016</v>
          </cell>
          <cell r="N648">
            <v>1</v>
          </cell>
          <cell r="O648" t="str">
            <v>Invasivo</v>
          </cell>
          <cell r="R648" t="str">
            <v>Semestral</v>
          </cell>
        </row>
        <row r="649">
          <cell r="C649">
            <v>296</v>
          </cell>
          <cell r="D649" t="str">
            <v>2-110828</v>
          </cell>
          <cell r="E649" t="str">
            <v>Monitor Multiparámetros</v>
          </cell>
          <cell r="F649" t="str">
            <v>Neonatología</v>
          </cell>
          <cell r="G649" t="str">
            <v>UTI Neonatología</v>
          </cell>
          <cell r="I649" t="str">
            <v>Adquirido</v>
          </cell>
          <cell r="J649" t="str">
            <v>Drager</v>
          </cell>
          <cell r="K649" t="str">
            <v>Vista 120</v>
          </cell>
          <cell r="L649" t="str">
            <v>VQSHD0124</v>
          </cell>
          <cell r="M649">
            <v>2016</v>
          </cell>
          <cell r="N649">
            <v>1</v>
          </cell>
          <cell r="O649" t="str">
            <v>Invasivo</v>
          </cell>
          <cell r="R649" t="str">
            <v>Semestral</v>
          </cell>
        </row>
        <row r="650">
          <cell r="C650">
            <v>297</v>
          </cell>
          <cell r="D650" t="str">
            <v>2-110842</v>
          </cell>
          <cell r="E650" t="str">
            <v>Monitor Multiparámetros</v>
          </cell>
          <cell r="F650" t="str">
            <v>Neonatología</v>
          </cell>
          <cell r="G650" t="str">
            <v>UTI Neonatología</v>
          </cell>
          <cell r="I650" t="str">
            <v>Adquirido</v>
          </cell>
          <cell r="J650" t="str">
            <v>Drager</v>
          </cell>
          <cell r="K650" t="str">
            <v>Vista 120</v>
          </cell>
          <cell r="L650" t="str">
            <v>VQSHD0127</v>
          </cell>
          <cell r="M650">
            <v>2016</v>
          </cell>
          <cell r="N650">
            <v>1</v>
          </cell>
          <cell r="O650" t="str">
            <v>Invasivo</v>
          </cell>
          <cell r="R650" t="str">
            <v>Semestral</v>
          </cell>
        </row>
        <row r="651">
          <cell r="C651">
            <v>298</v>
          </cell>
          <cell r="D651" t="str">
            <v>2-110945</v>
          </cell>
          <cell r="E651" t="str">
            <v>Monitor Multiparámetros</v>
          </cell>
          <cell r="F651" t="str">
            <v>Neonatología</v>
          </cell>
          <cell r="G651" t="str">
            <v>UTI Neonatología</v>
          </cell>
          <cell r="I651" t="str">
            <v>Adquirido</v>
          </cell>
          <cell r="J651" t="str">
            <v>Drager</v>
          </cell>
          <cell r="K651" t="str">
            <v>Vista 120</v>
          </cell>
          <cell r="L651" t="str">
            <v>VQSHD0130</v>
          </cell>
          <cell r="M651">
            <v>2016</v>
          </cell>
          <cell r="N651">
            <v>1</v>
          </cell>
          <cell r="O651" t="str">
            <v>Invasivo</v>
          </cell>
          <cell r="R651" t="str">
            <v>Semestral</v>
          </cell>
        </row>
        <row r="652">
          <cell r="C652">
            <v>299</v>
          </cell>
          <cell r="D652" t="str">
            <v>2-110829</v>
          </cell>
          <cell r="E652" t="str">
            <v>Monitor Multiparámetros</v>
          </cell>
          <cell r="F652" t="str">
            <v>Neonatología</v>
          </cell>
          <cell r="G652" t="str">
            <v>UTI Neonatología</v>
          </cell>
          <cell r="I652" t="str">
            <v>Adquirido</v>
          </cell>
          <cell r="J652" t="str">
            <v>Drager</v>
          </cell>
          <cell r="K652" t="str">
            <v>Vista 120</v>
          </cell>
          <cell r="L652" t="str">
            <v>VQSHD0133</v>
          </cell>
          <cell r="M652">
            <v>2016</v>
          </cell>
          <cell r="N652">
            <v>1</v>
          </cell>
          <cell r="O652" t="str">
            <v>Invasivo</v>
          </cell>
          <cell r="R652" t="str">
            <v>Semestral</v>
          </cell>
        </row>
        <row r="653">
          <cell r="C653">
            <v>300</v>
          </cell>
          <cell r="D653" t="str">
            <v>2-110836</v>
          </cell>
          <cell r="E653" t="str">
            <v>Monitor Multiparámetros</v>
          </cell>
          <cell r="F653" t="str">
            <v>Neonatología</v>
          </cell>
          <cell r="G653" t="str">
            <v>UTI Neonatología</v>
          </cell>
          <cell r="I653" t="str">
            <v>Adquirido</v>
          </cell>
          <cell r="J653" t="str">
            <v>Drager</v>
          </cell>
          <cell r="K653" t="str">
            <v>Vista 120</v>
          </cell>
          <cell r="L653" t="str">
            <v>VQSHD0146</v>
          </cell>
          <cell r="M653">
            <v>2016</v>
          </cell>
          <cell r="N653">
            <v>1</v>
          </cell>
          <cell r="O653" t="str">
            <v>Invasivo</v>
          </cell>
          <cell r="R653" t="str">
            <v>Semestral</v>
          </cell>
        </row>
        <row r="654">
          <cell r="C654">
            <v>301</v>
          </cell>
          <cell r="D654" t="str">
            <v>2-110942</v>
          </cell>
          <cell r="E654" t="str">
            <v>Monitor Multiparámetros</v>
          </cell>
          <cell r="F654" t="str">
            <v>Neonatología</v>
          </cell>
          <cell r="G654" t="str">
            <v>UTI Neonatología</v>
          </cell>
          <cell r="I654" t="str">
            <v>Adquirido</v>
          </cell>
          <cell r="J654" t="str">
            <v>Drager</v>
          </cell>
          <cell r="K654" t="str">
            <v>Vista 120</v>
          </cell>
          <cell r="L654" t="str">
            <v>VQSHD0152</v>
          </cell>
          <cell r="M654">
            <v>2016</v>
          </cell>
          <cell r="N654">
            <v>1</v>
          </cell>
          <cell r="O654" t="str">
            <v>Invasivo</v>
          </cell>
          <cell r="R654" t="str">
            <v>Semestral</v>
          </cell>
        </row>
        <row r="655">
          <cell r="C655">
            <v>302</v>
          </cell>
          <cell r="D655" t="str">
            <v>2-110943</v>
          </cell>
          <cell r="E655" t="str">
            <v>Monitor Multiparámetros</v>
          </cell>
          <cell r="F655" t="str">
            <v>Neonatología</v>
          </cell>
          <cell r="G655" t="str">
            <v>UTI Neonatología</v>
          </cell>
          <cell r="I655" t="str">
            <v>Adquirido</v>
          </cell>
          <cell r="J655" t="str">
            <v>Drager</v>
          </cell>
          <cell r="K655" t="str">
            <v>Vista 120</v>
          </cell>
          <cell r="L655" t="str">
            <v>VQSHD0154</v>
          </cell>
          <cell r="M655">
            <v>2016</v>
          </cell>
          <cell r="N655">
            <v>1</v>
          </cell>
          <cell r="O655" t="str">
            <v>Invasivo</v>
          </cell>
          <cell r="R655" t="str">
            <v>Semestral</v>
          </cell>
        </row>
        <row r="656">
          <cell r="C656">
            <v>303</v>
          </cell>
          <cell r="D656" t="str">
            <v>2-110947</v>
          </cell>
          <cell r="E656" t="str">
            <v>Monitor Multiparámetros</v>
          </cell>
          <cell r="F656" t="str">
            <v>Neonatología</v>
          </cell>
          <cell r="G656" t="str">
            <v>UTI Neonatología</v>
          </cell>
          <cell r="I656" t="str">
            <v>Adquirido</v>
          </cell>
          <cell r="J656" t="str">
            <v>Drager</v>
          </cell>
          <cell r="K656" t="str">
            <v>Vista 120</v>
          </cell>
          <cell r="L656" t="str">
            <v>VQSHD0158</v>
          </cell>
          <cell r="M656">
            <v>2016</v>
          </cell>
          <cell r="N656">
            <v>1</v>
          </cell>
          <cell r="O656" t="str">
            <v>Invasivo</v>
          </cell>
          <cell r="R656" t="str">
            <v>Semestral</v>
          </cell>
        </row>
        <row r="657">
          <cell r="C657">
            <v>304</v>
          </cell>
          <cell r="D657" t="str">
            <v>2-110837</v>
          </cell>
          <cell r="E657" t="str">
            <v>Monitor Multiparámetros</v>
          </cell>
          <cell r="F657" t="str">
            <v>Neonatología</v>
          </cell>
          <cell r="G657" t="str">
            <v>UTI Neonatología</v>
          </cell>
          <cell r="I657" t="str">
            <v>Adquirido</v>
          </cell>
          <cell r="J657" t="str">
            <v>Drager</v>
          </cell>
          <cell r="K657" t="str">
            <v>Vista 120</v>
          </cell>
          <cell r="L657" t="str">
            <v>VQSHD0160</v>
          </cell>
          <cell r="M657">
            <v>2016</v>
          </cell>
          <cell r="N657">
            <v>1</v>
          </cell>
          <cell r="O657" t="str">
            <v>Invasivo</v>
          </cell>
          <cell r="R657" t="str">
            <v>Semestral</v>
          </cell>
        </row>
        <row r="658">
          <cell r="C658">
            <v>305</v>
          </cell>
          <cell r="D658" t="str">
            <v>2-110832</v>
          </cell>
          <cell r="E658" t="str">
            <v>Monitor Multiparámetros</v>
          </cell>
          <cell r="F658" t="str">
            <v>Neonatología</v>
          </cell>
          <cell r="G658" t="str">
            <v>UTI Neonatología</v>
          </cell>
          <cell r="I658" t="str">
            <v>Adquirido</v>
          </cell>
          <cell r="J658" t="str">
            <v>Drager</v>
          </cell>
          <cell r="K658" t="str">
            <v>Vista 120</v>
          </cell>
          <cell r="L658" t="str">
            <v>VQSHD0166</v>
          </cell>
          <cell r="M658">
            <v>2016</v>
          </cell>
          <cell r="N658">
            <v>1</v>
          </cell>
          <cell r="O658" t="str">
            <v>Invasivo</v>
          </cell>
          <cell r="R658" t="str">
            <v>Semestral</v>
          </cell>
        </row>
        <row r="659">
          <cell r="C659">
            <v>306</v>
          </cell>
          <cell r="D659" t="str">
            <v>2-110840</v>
          </cell>
          <cell r="E659" t="str">
            <v>Monitor Multiparámetros</v>
          </cell>
          <cell r="F659" t="str">
            <v>Neonatología</v>
          </cell>
          <cell r="G659" t="str">
            <v>UTI Neonatología</v>
          </cell>
          <cell r="I659" t="str">
            <v>Adquirido</v>
          </cell>
          <cell r="J659" t="str">
            <v>Drager</v>
          </cell>
          <cell r="K659" t="str">
            <v>Vista 120</v>
          </cell>
          <cell r="L659" t="str">
            <v>VQSHD0169</v>
          </cell>
          <cell r="M659">
            <v>2016</v>
          </cell>
          <cell r="N659">
            <v>1</v>
          </cell>
          <cell r="O659" t="str">
            <v>Invasivo</v>
          </cell>
          <cell r="R659" t="str">
            <v>Semestral</v>
          </cell>
        </row>
        <row r="660">
          <cell r="C660">
            <v>307</v>
          </cell>
          <cell r="D660" t="str">
            <v>2-110833</v>
          </cell>
          <cell r="E660" t="str">
            <v>Monitor Multiparámetros</v>
          </cell>
          <cell r="F660" t="str">
            <v>Neonatología</v>
          </cell>
          <cell r="G660" t="str">
            <v>UTI Neonatología</v>
          </cell>
          <cell r="I660" t="str">
            <v>Adquirido</v>
          </cell>
          <cell r="J660" t="str">
            <v>Drager</v>
          </cell>
          <cell r="K660" t="str">
            <v>Vista 120</v>
          </cell>
          <cell r="L660" t="str">
            <v>VQSHD0170</v>
          </cell>
          <cell r="M660">
            <v>2016</v>
          </cell>
          <cell r="N660">
            <v>1</v>
          </cell>
          <cell r="O660" t="str">
            <v>Invasivo</v>
          </cell>
          <cell r="R660" t="str">
            <v>Semestral</v>
          </cell>
        </row>
        <row r="661">
          <cell r="C661">
            <v>308</v>
          </cell>
          <cell r="D661" t="str">
            <v>2-110839</v>
          </cell>
          <cell r="E661" t="str">
            <v>Monitor Multiparámetros</v>
          </cell>
          <cell r="F661" t="str">
            <v>Neonatología</v>
          </cell>
          <cell r="G661" t="str">
            <v>UTI Neonatología</v>
          </cell>
          <cell r="I661" t="str">
            <v>Adquirido</v>
          </cell>
          <cell r="J661" t="str">
            <v>Drager</v>
          </cell>
          <cell r="K661" t="str">
            <v>Vista 120</v>
          </cell>
          <cell r="L661" t="str">
            <v>VQSHD0171</v>
          </cell>
          <cell r="M661">
            <v>2016</v>
          </cell>
          <cell r="N661">
            <v>1</v>
          </cell>
          <cell r="O661" t="str">
            <v>Invasivo</v>
          </cell>
          <cell r="R661" t="str">
            <v>Semestral</v>
          </cell>
        </row>
        <row r="662">
          <cell r="C662">
            <v>309</v>
          </cell>
          <cell r="D662" t="str">
            <v>2-110841</v>
          </cell>
          <cell r="E662" t="str">
            <v>Monitor Multiparámetros</v>
          </cell>
          <cell r="F662" t="str">
            <v>Neonatología</v>
          </cell>
          <cell r="G662" t="str">
            <v>UTI Neonatología</v>
          </cell>
          <cell r="I662" t="str">
            <v>Adquirido</v>
          </cell>
          <cell r="J662" t="str">
            <v>Drager</v>
          </cell>
          <cell r="K662" t="str">
            <v>Vista 120</v>
          </cell>
          <cell r="L662" t="str">
            <v>VQSHD0173</v>
          </cell>
          <cell r="M662">
            <v>2016</v>
          </cell>
          <cell r="N662">
            <v>1</v>
          </cell>
          <cell r="O662" t="str">
            <v>Invasivo</v>
          </cell>
          <cell r="R662" t="str">
            <v>Semestral</v>
          </cell>
        </row>
        <row r="663">
          <cell r="C663">
            <v>310</v>
          </cell>
          <cell r="D663" t="str">
            <v>2-110835</v>
          </cell>
          <cell r="E663" t="str">
            <v>Monitor Multiparámetros</v>
          </cell>
          <cell r="F663" t="str">
            <v>Neonatología</v>
          </cell>
          <cell r="G663" t="str">
            <v>UTI Neonatología</v>
          </cell>
          <cell r="I663" t="str">
            <v>Adquirido</v>
          </cell>
          <cell r="J663" t="str">
            <v>Drager</v>
          </cell>
          <cell r="K663" t="str">
            <v>Vista 120</v>
          </cell>
          <cell r="L663" t="str">
            <v>VQSHD0174</v>
          </cell>
          <cell r="M663">
            <v>2016</v>
          </cell>
          <cell r="N663">
            <v>1</v>
          </cell>
          <cell r="O663" t="str">
            <v>Invasivo</v>
          </cell>
          <cell r="R663" t="str">
            <v>Semestral</v>
          </cell>
        </row>
        <row r="664">
          <cell r="C664">
            <v>311</v>
          </cell>
          <cell r="D664" t="str">
            <v>2-110944</v>
          </cell>
          <cell r="E664" t="str">
            <v>Monitor Multiparámetros</v>
          </cell>
          <cell r="F664" t="str">
            <v>Neonatología</v>
          </cell>
          <cell r="G664" t="str">
            <v>UTI Neonatología</v>
          </cell>
          <cell r="I664" t="str">
            <v>Adquirido</v>
          </cell>
          <cell r="J664" t="str">
            <v>Drager</v>
          </cell>
          <cell r="K664" t="str">
            <v>Vista 120</v>
          </cell>
          <cell r="L664" t="str">
            <v>VQSHD0194</v>
          </cell>
          <cell r="M664">
            <v>2016</v>
          </cell>
          <cell r="N664">
            <v>1</v>
          </cell>
          <cell r="O664" t="str">
            <v>Invasivo</v>
          </cell>
          <cell r="R664" t="str">
            <v>Semestral</v>
          </cell>
        </row>
        <row r="665">
          <cell r="C665">
            <v>312</v>
          </cell>
          <cell r="D665" t="str">
            <v>2-110844</v>
          </cell>
          <cell r="E665" t="str">
            <v>Monitor Multiparámetros</v>
          </cell>
          <cell r="F665" t="str">
            <v>Neonatología</v>
          </cell>
          <cell r="G665" t="str">
            <v>UTI Neonatología</v>
          </cell>
          <cell r="I665" t="str">
            <v>Adquirido</v>
          </cell>
          <cell r="J665" t="str">
            <v>Drager</v>
          </cell>
          <cell r="K665" t="str">
            <v>Vista 120</v>
          </cell>
          <cell r="L665" t="str">
            <v>VQSHD0197</v>
          </cell>
          <cell r="M665">
            <v>2016</v>
          </cell>
          <cell r="N665">
            <v>1</v>
          </cell>
          <cell r="O665" t="str">
            <v>Invasivo</v>
          </cell>
          <cell r="Q665" t="str">
            <v>Lllega de Dager. Se reemplazo el modulo de PANI 03-10-24.</v>
          </cell>
          <cell r="R665" t="str">
            <v>Semestral</v>
          </cell>
        </row>
        <row r="666">
          <cell r="C666">
            <v>313</v>
          </cell>
          <cell r="D666" t="str">
            <v>2-110830</v>
          </cell>
          <cell r="E666" t="str">
            <v>Monitor Multiparámetros</v>
          </cell>
          <cell r="F666" t="str">
            <v>Neonatología</v>
          </cell>
          <cell r="G666" t="str">
            <v>UTI Neonatología</v>
          </cell>
          <cell r="I666" t="str">
            <v>Adquirido</v>
          </cell>
          <cell r="J666" t="str">
            <v>Drager</v>
          </cell>
          <cell r="K666" t="str">
            <v>Vista 120</v>
          </cell>
          <cell r="L666" t="str">
            <v>VQSHD0226</v>
          </cell>
          <cell r="M666">
            <v>2016</v>
          </cell>
          <cell r="N666">
            <v>1</v>
          </cell>
          <cell r="O666" t="str">
            <v>Invasivo</v>
          </cell>
          <cell r="R666" t="str">
            <v>Semestral</v>
          </cell>
        </row>
        <row r="667">
          <cell r="C667">
            <v>314</v>
          </cell>
          <cell r="D667" t="str">
            <v>2-110946</v>
          </cell>
          <cell r="E667" t="str">
            <v>Monitor Multiparámetros</v>
          </cell>
          <cell r="F667" t="str">
            <v>Neonatología</v>
          </cell>
          <cell r="G667" t="str">
            <v>UTI Neonatología</v>
          </cell>
          <cell r="I667" t="str">
            <v>Adquirido</v>
          </cell>
          <cell r="J667" t="str">
            <v>Drager</v>
          </cell>
          <cell r="K667" t="str">
            <v>Vista 120</v>
          </cell>
          <cell r="L667" t="str">
            <v>VQSHD0233</v>
          </cell>
          <cell r="M667">
            <v>2016</v>
          </cell>
          <cell r="N667">
            <v>1</v>
          </cell>
          <cell r="O667" t="str">
            <v>Invasivo</v>
          </cell>
          <cell r="R667" t="str">
            <v>Semestral</v>
          </cell>
        </row>
        <row r="668">
          <cell r="C668">
            <v>315</v>
          </cell>
          <cell r="D668" t="str">
            <v>2-110941</v>
          </cell>
          <cell r="E668" t="str">
            <v>Monitor Multiparámetros</v>
          </cell>
          <cell r="F668" t="str">
            <v>Neonatología</v>
          </cell>
          <cell r="G668" t="str">
            <v>UTI Neonatología</v>
          </cell>
          <cell r="I668" t="str">
            <v>Adquirido</v>
          </cell>
          <cell r="J668" t="str">
            <v>Drager</v>
          </cell>
          <cell r="K668" t="str">
            <v>Vista 120</v>
          </cell>
          <cell r="L668" t="str">
            <v>VQSHD0234</v>
          </cell>
          <cell r="M668">
            <v>2016</v>
          </cell>
          <cell r="N668">
            <v>1</v>
          </cell>
          <cell r="O668" t="str">
            <v>Invasivo</v>
          </cell>
          <cell r="R668" t="str">
            <v>Semestral</v>
          </cell>
        </row>
        <row r="669">
          <cell r="C669">
            <v>316</v>
          </cell>
          <cell r="D669" t="str">
            <v>2-013520</v>
          </cell>
          <cell r="E669" t="str">
            <v>Monitor Multiparámetros</v>
          </cell>
          <cell r="F669" t="str">
            <v>UPC Cardiovascular (Prestado a Medicina)</v>
          </cell>
          <cell r="G669" t="str">
            <v>Medicina interna</v>
          </cell>
          <cell r="I669" t="str">
            <v>Adquirido</v>
          </cell>
          <cell r="J669" t="str">
            <v>Drager</v>
          </cell>
          <cell r="K669" t="str">
            <v>Vista 120</v>
          </cell>
          <cell r="L669" t="str">
            <v>VTSHD0021</v>
          </cell>
          <cell r="M669">
            <v>2015</v>
          </cell>
          <cell r="N669">
            <v>0</v>
          </cell>
          <cell r="O669" t="str">
            <v>Invasivo</v>
          </cell>
          <cell r="Q669" t="str">
            <v>trazabilidad</v>
          </cell>
          <cell r="R669" t="str">
            <v>Semestral</v>
          </cell>
        </row>
        <row r="670">
          <cell r="C670">
            <v>317</v>
          </cell>
          <cell r="D670" t="str">
            <v>2-110957</v>
          </cell>
          <cell r="E670" t="str">
            <v>Monitor Multiparámetros</v>
          </cell>
          <cell r="F670" t="str">
            <v>Pabellones Gineco-Obstétricos</v>
          </cell>
          <cell r="G670" t="str">
            <v>Recuperación Partos</v>
          </cell>
          <cell r="H670" t="str">
            <v>Cama 8</v>
          </cell>
          <cell r="I670" t="str">
            <v>Adquirido</v>
          </cell>
          <cell r="J670" t="str">
            <v>Drager</v>
          </cell>
          <cell r="K670" t="str">
            <v>Vista 120</v>
          </cell>
          <cell r="L670" t="str">
            <v>VTSHN0089</v>
          </cell>
          <cell r="M670">
            <v>2015</v>
          </cell>
          <cell r="N670">
            <v>0</v>
          </cell>
          <cell r="O670" t="str">
            <v>Invasivo</v>
          </cell>
          <cell r="R670" t="str">
            <v>Semestral</v>
          </cell>
        </row>
        <row r="671">
          <cell r="C671">
            <v>318</v>
          </cell>
          <cell r="D671" t="str">
            <v>2-022659</v>
          </cell>
          <cell r="E671" t="str">
            <v>Monitor Multiparámetros</v>
          </cell>
          <cell r="F671" t="str">
            <v>Pabellones Gineco-Obstétricos</v>
          </cell>
          <cell r="G671" t="str">
            <v xml:space="preserve">Sala de Procedimientos Partos </v>
          </cell>
          <cell r="H671" t="str">
            <v>Pabellón 1</v>
          </cell>
          <cell r="I671" t="str">
            <v>Adquirido</v>
          </cell>
          <cell r="J671" t="str">
            <v>Drager</v>
          </cell>
          <cell r="K671" t="str">
            <v>Infinity Kappa</v>
          </cell>
          <cell r="L671">
            <v>5495188658</v>
          </cell>
          <cell r="M671">
            <v>2016</v>
          </cell>
          <cell r="N671">
            <v>1</v>
          </cell>
          <cell r="O671" t="str">
            <v>Invasivo</v>
          </cell>
          <cell r="R671" t="str">
            <v>Semestral</v>
          </cell>
        </row>
        <row r="672">
          <cell r="C672">
            <v>319</v>
          </cell>
          <cell r="D672" t="str">
            <v>2-024122</v>
          </cell>
          <cell r="E672" t="str">
            <v>Monitor Multiparámetros</v>
          </cell>
          <cell r="F672" t="str">
            <v>SAMU</v>
          </cell>
          <cell r="G672" t="str">
            <v>SAMU</v>
          </cell>
          <cell r="H672" t="str">
            <v>Movil 1301</v>
          </cell>
          <cell r="I672" t="str">
            <v>Adquirido</v>
          </cell>
          <cell r="J672" t="str">
            <v xml:space="preserve">Nihon Kohden </v>
          </cell>
          <cell r="K672" t="str">
            <v>BSM-6301K</v>
          </cell>
          <cell r="L672" t="str">
            <v>01117.</v>
          </cell>
          <cell r="M672">
            <v>2016</v>
          </cell>
          <cell r="N672">
            <v>1</v>
          </cell>
          <cell r="O672" t="str">
            <v>Invasivo</v>
          </cell>
          <cell r="R672" t="str">
            <v>Semestral</v>
          </cell>
        </row>
        <row r="673">
          <cell r="C673">
            <v>320</v>
          </cell>
          <cell r="D673" t="str">
            <v>2-111142</v>
          </cell>
          <cell r="E673" t="str">
            <v>Monitor Multiparámetros</v>
          </cell>
          <cell r="F673" t="str">
            <v>UPC Cardiovascular</v>
          </cell>
          <cell r="G673" t="str">
            <v>UPC Cardiovascular</v>
          </cell>
          <cell r="H673" t="str">
            <v>Bodega</v>
          </cell>
          <cell r="I673" t="str">
            <v>Adquirido</v>
          </cell>
          <cell r="J673" t="str">
            <v>Drager</v>
          </cell>
          <cell r="K673" t="str">
            <v>Infinity Delta</v>
          </cell>
          <cell r="L673">
            <v>6007939163</v>
          </cell>
          <cell r="M673">
            <v>2015</v>
          </cell>
          <cell r="N673">
            <v>0</v>
          </cell>
          <cell r="O673" t="str">
            <v>Invasivo</v>
          </cell>
          <cell r="R673" t="str">
            <v>Semestral</v>
          </cell>
        </row>
        <row r="674">
          <cell r="C674">
            <v>321</v>
          </cell>
          <cell r="D674" t="str">
            <v>2-111140</v>
          </cell>
          <cell r="E674" t="str">
            <v>Monitor Multiparámetros</v>
          </cell>
          <cell r="F674" t="str">
            <v>UPC Cardiovascular</v>
          </cell>
          <cell r="G674" t="str">
            <v xml:space="preserve">UTI Cardiovascular </v>
          </cell>
          <cell r="H674" t="str">
            <v>CAMA 7</v>
          </cell>
          <cell r="I674" t="str">
            <v>Adquirido</v>
          </cell>
          <cell r="J674" t="str">
            <v>Drager</v>
          </cell>
          <cell r="K674" t="str">
            <v>Infinity Kappa</v>
          </cell>
          <cell r="L674">
            <v>5495339950</v>
          </cell>
          <cell r="M674">
            <v>2016</v>
          </cell>
          <cell r="N674">
            <v>1</v>
          </cell>
          <cell r="O674" t="str">
            <v>Invasivo</v>
          </cell>
          <cell r="Q674" t="str">
            <v>Cambio del boton de mando 29-07-24</v>
          </cell>
          <cell r="R674" t="str">
            <v>Semestral</v>
          </cell>
        </row>
        <row r="675">
          <cell r="C675">
            <v>322</v>
          </cell>
          <cell r="D675" t="str">
            <v>2-111902</v>
          </cell>
          <cell r="E675" t="str">
            <v>Monitor Multiparámetros</v>
          </cell>
          <cell r="F675" t="str">
            <v>Pabellón CMA</v>
          </cell>
          <cell r="G675" t="str">
            <v>Recuperación CMA</v>
          </cell>
          <cell r="I675" t="str">
            <v>Préstamo</v>
          </cell>
          <cell r="J675" t="str">
            <v xml:space="preserve">Nihon Kohden </v>
          </cell>
          <cell r="K675" t="str">
            <v>PVM-2701</v>
          </cell>
          <cell r="L675">
            <v>111450</v>
          </cell>
          <cell r="M675">
            <v>2016</v>
          </cell>
          <cell r="N675">
            <v>1</v>
          </cell>
          <cell r="O675" t="str">
            <v>No Invasivo</v>
          </cell>
          <cell r="Q675" t="str">
            <v>18-11-2025 carcasa muy rayada, no compromete el equipo y se cambia saturometro</v>
          </cell>
          <cell r="R675" t="str">
            <v>Semestral</v>
          </cell>
        </row>
        <row r="676">
          <cell r="C676">
            <v>323</v>
          </cell>
          <cell r="D676" t="str">
            <v>2-111901</v>
          </cell>
          <cell r="E676" t="str">
            <v>Monitor Multiparámetros</v>
          </cell>
          <cell r="F676" t="str">
            <v>Pabellón CMA</v>
          </cell>
          <cell r="G676" t="str">
            <v>Recuperación CMA</v>
          </cell>
          <cell r="I676" t="str">
            <v>Préstamo</v>
          </cell>
          <cell r="J676" t="str">
            <v xml:space="preserve">Nihon Kohden </v>
          </cell>
          <cell r="K676" t="str">
            <v>PVM-2701</v>
          </cell>
          <cell r="L676">
            <v>111456</v>
          </cell>
          <cell r="M676">
            <v>2016</v>
          </cell>
          <cell r="N676">
            <v>1</v>
          </cell>
          <cell r="O676" t="str">
            <v>No Invasivo</v>
          </cell>
          <cell r="Q676" t="str">
            <v>05-08-2025 se reemplaza bateria quedando el equipo operativo.</v>
          </cell>
          <cell r="R676" t="str">
            <v>Semestral</v>
          </cell>
        </row>
        <row r="677">
          <cell r="C677">
            <v>324</v>
          </cell>
          <cell r="D677" t="str">
            <v>2-016338</v>
          </cell>
          <cell r="E677" t="str">
            <v>Monitor Multiparámetros</v>
          </cell>
          <cell r="F677" t="str">
            <v>UPC Adulto</v>
          </cell>
          <cell r="G677" t="str">
            <v>UTI Adulto</v>
          </cell>
          <cell r="H677" t="str">
            <v>BODEGA</v>
          </cell>
          <cell r="I677" t="str">
            <v>Adquirido</v>
          </cell>
          <cell r="J677" t="str">
            <v>Drager</v>
          </cell>
          <cell r="K677" t="str">
            <v>Infinity Delta</v>
          </cell>
          <cell r="L677">
            <v>6006242079</v>
          </cell>
          <cell r="M677">
            <v>2015</v>
          </cell>
          <cell r="N677">
            <v>0</v>
          </cell>
          <cell r="O677" t="str">
            <v>Invasivo</v>
          </cell>
          <cell r="Q677" t="str">
            <v>Monitor no encontrado 02-2024. ST Llego de servicio tecnico</v>
          </cell>
        </row>
        <row r="678">
          <cell r="C678">
            <v>325</v>
          </cell>
          <cell r="D678" t="str">
            <v>2-112541</v>
          </cell>
          <cell r="E678" t="str">
            <v>Monitor Multiparámetros</v>
          </cell>
          <cell r="F678" t="str">
            <v>UPC Adulto (Prestado a UPC 3er piso)</v>
          </cell>
          <cell r="G678" t="str">
            <v>Prestado a UPC 3er piso</v>
          </cell>
          <cell r="H678" t="str">
            <v>UPC 3er piso</v>
          </cell>
          <cell r="I678" t="str">
            <v>Adquirido</v>
          </cell>
          <cell r="J678" t="str">
            <v>Drager</v>
          </cell>
          <cell r="K678" t="str">
            <v>Infinity Kappa</v>
          </cell>
          <cell r="L678">
            <v>5495318955</v>
          </cell>
          <cell r="M678">
            <v>2016</v>
          </cell>
          <cell r="N678">
            <v>1</v>
          </cell>
          <cell r="O678" t="str">
            <v>Invasivo</v>
          </cell>
          <cell r="Q678" t="str">
            <v>trazabilidad</v>
          </cell>
          <cell r="R678" t="str">
            <v>Semestral</v>
          </cell>
        </row>
        <row r="679">
          <cell r="C679">
            <v>326</v>
          </cell>
          <cell r="D679" t="str">
            <v>2-112601</v>
          </cell>
          <cell r="E679" t="str">
            <v>Monitor Multiparámetros</v>
          </cell>
          <cell r="F679" t="str">
            <v>Cardiología</v>
          </cell>
          <cell r="G679" t="str">
            <v xml:space="preserve">Recuperación Angiógrafo </v>
          </cell>
          <cell r="H679" t="str">
            <v>Pabellon Hemodinamia 2do piso</v>
          </cell>
          <cell r="I679" t="str">
            <v>Adquirido</v>
          </cell>
          <cell r="J679" t="str">
            <v>Drager</v>
          </cell>
          <cell r="K679" t="str">
            <v>Infinity Kappa</v>
          </cell>
          <cell r="L679">
            <v>5493736846</v>
          </cell>
          <cell r="M679">
            <v>2015</v>
          </cell>
          <cell r="N679">
            <v>0</v>
          </cell>
          <cell r="O679" t="str">
            <v>Invasivo</v>
          </cell>
          <cell r="R679" t="str">
            <v>Semestral</v>
          </cell>
        </row>
        <row r="680">
          <cell r="C680">
            <v>327</v>
          </cell>
          <cell r="D680" t="str">
            <v>2-017205</v>
          </cell>
          <cell r="E680" t="str">
            <v>Monitor Multiparámetros</v>
          </cell>
          <cell r="F680" t="str">
            <v>SAMU</v>
          </cell>
          <cell r="G680" t="str">
            <v>SAMU BASE NORTE</v>
          </cell>
          <cell r="H680" t="str">
            <v>Movil 1302</v>
          </cell>
          <cell r="I680" t="str">
            <v>Adquirido</v>
          </cell>
          <cell r="J680" t="str">
            <v xml:space="preserve">Nihon Kohden </v>
          </cell>
          <cell r="K680" t="str">
            <v>BSM-6301K</v>
          </cell>
          <cell r="L680" t="str">
            <v>01118.</v>
          </cell>
          <cell r="M680">
            <v>2016</v>
          </cell>
          <cell r="N680">
            <v>1</v>
          </cell>
          <cell r="O680" t="str">
            <v>Invasivo</v>
          </cell>
          <cell r="Q680" t="str">
            <v>Dado de baja debido a su alto costo de reparación</v>
          </cell>
          <cell r="R680" t="str">
            <v>Semestral</v>
          </cell>
        </row>
        <row r="681">
          <cell r="C681">
            <v>328</v>
          </cell>
          <cell r="D681" t="str">
            <v>2-117051</v>
          </cell>
          <cell r="E681" t="str">
            <v>Monitor Multiparámetros</v>
          </cell>
          <cell r="F681" t="str">
            <v>Pabellones Gineco-Obstétricos</v>
          </cell>
          <cell r="G681" t="str">
            <v>Recuperación pabellón obstétrico</v>
          </cell>
          <cell r="H681" t="str">
            <v>Cama 10</v>
          </cell>
          <cell r="I681" t="str">
            <v>Adquirido</v>
          </cell>
          <cell r="J681" t="str">
            <v>Philips</v>
          </cell>
          <cell r="K681" t="str">
            <v>MX450</v>
          </cell>
          <cell r="L681" t="str">
            <v>DE351C1465</v>
          </cell>
          <cell r="M681">
            <v>2018</v>
          </cell>
          <cell r="N681">
            <v>3</v>
          </cell>
          <cell r="O681" t="str">
            <v>Invasivo</v>
          </cell>
          <cell r="R681" t="str">
            <v>Semestral</v>
          </cell>
        </row>
        <row r="682">
          <cell r="C682">
            <v>329</v>
          </cell>
          <cell r="D682" t="str">
            <v>2-110795</v>
          </cell>
          <cell r="E682" t="str">
            <v>Oxímetro de Pulso</v>
          </cell>
          <cell r="F682" t="str">
            <v>Neonatología</v>
          </cell>
          <cell r="G682" t="str">
            <v>UCI Neonatología</v>
          </cell>
          <cell r="I682" t="str">
            <v>Adquirido</v>
          </cell>
          <cell r="J682" t="str">
            <v>Masimo</v>
          </cell>
          <cell r="K682" t="str">
            <v>R7</v>
          </cell>
          <cell r="L682">
            <v>225548</v>
          </cell>
          <cell r="M682">
            <v>2016</v>
          </cell>
          <cell r="N682">
            <v>1</v>
          </cell>
          <cell r="O682" t="str">
            <v>No Invasivo</v>
          </cell>
          <cell r="R682" t="str">
            <v>Semestral</v>
          </cell>
        </row>
        <row r="683">
          <cell r="C683">
            <v>330</v>
          </cell>
          <cell r="D683" t="str">
            <v>2-110796</v>
          </cell>
          <cell r="E683" t="str">
            <v>Oxímetro de Pulso</v>
          </cell>
          <cell r="F683" t="str">
            <v>Neonatología</v>
          </cell>
          <cell r="G683" t="str">
            <v>UCI Neonatología</v>
          </cell>
          <cell r="I683" t="str">
            <v>Adquirido</v>
          </cell>
          <cell r="J683" t="str">
            <v>Masimo</v>
          </cell>
          <cell r="K683" t="str">
            <v>R7</v>
          </cell>
          <cell r="L683">
            <v>225507</v>
          </cell>
          <cell r="M683">
            <v>2016</v>
          </cell>
          <cell r="N683">
            <v>1</v>
          </cell>
          <cell r="O683" t="str">
            <v>No Invasivo</v>
          </cell>
          <cell r="R683" t="str">
            <v>Semestral</v>
          </cell>
        </row>
        <row r="684">
          <cell r="C684">
            <v>331</v>
          </cell>
          <cell r="D684" t="str">
            <v>2-112800</v>
          </cell>
          <cell r="E684" t="str">
            <v>Monitor Multiparámetros</v>
          </cell>
          <cell r="F684" t="str">
            <v>UPC Adulto</v>
          </cell>
          <cell r="G684" t="str">
            <v>UTI Adulto</v>
          </cell>
          <cell r="H684" t="str">
            <v>CAMA 4</v>
          </cell>
          <cell r="I684" t="str">
            <v>Adquirido</v>
          </cell>
          <cell r="J684" t="str">
            <v>Drager</v>
          </cell>
          <cell r="K684" t="str">
            <v xml:space="preserve">Infinity Kappa </v>
          </cell>
          <cell r="L684">
            <v>5495286953</v>
          </cell>
          <cell r="M684">
            <v>2016</v>
          </cell>
          <cell r="N684">
            <v>1</v>
          </cell>
          <cell r="O684" t="str">
            <v>Invasivo</v>
          </cell>
          <cell r="Q684" t="str">
            <v>Equipo enviado a ST #212 solicitud 19-17515 el 06-10-2025</v>
          </cell>
          <cell r="R684" t="str">
            <v>Semestral</v>
          </cell>
        </row>
        <row r="685">
          <cell r="C685">
            <v>332</v>
          </cell>
          <cell r="D685" t="str">
            <v>2-112838</v>
          </cell>
          <cell r="E685" t="str">
            <v>Monitor Multiparámetros</v>
          </cell>
          <cell r="F685" t="str">
            <v>UPC Adulto</v>
          </cell>
          <cell r="G685" t="str">
            <v>UCI Adulto</v>
          </cell>
          <cell r="H685" t="str">
            <v>CAMA 14</v>
          </cell>
          <cell r="I685" t="str">
            <v>Adquirido</v>
          </cell>
          <cell r="J685" t="str">
            <v>Drager</v>
          </cell>
          <cell r="K685" t="str">
            <v xml:space="preserve">Infinity Kappa </v>
          </cell>
          <cell r="L685">
            <v>5495289950</v>
          </cell>
          <cell r="M685">
            <v>2016</v>
          </cell>
          <cell r="N685">
            <v>1</v>
          </cell>
          <cell r="O685" t="str">
            <v>Invasivo</v>
          </cell>
          <cell r="Q685" t="str">
            <v>Cambio de mando rotatorio 16-10-24</v>
          </cell>
          <cell r="R685" t="str">
            <v>Semestral</v>
          </cell>
        </row>
        <row r="686">
          <cell r="C686">
            <v>333</v>
          </cell>
          <cell r="D686" t="str">
            <v>2-112836</v>
          </cell>
          <cell r="E686" t="str">
            <v>Monitor Multiparámetros</v>
          </cell>
          <cell r="F686" t="str">
            <v>UPC Adulto</v>
          </cell>
          <cell r="G686" t="str">
            <v>UTI Médica</v>
          </cell>
          <cell r="H686" t="str">
            <v>CAMA 11</v>
          </cell>
          <cell r="I686" t="str">
            <v>Adquirido</v>
          </cell>
          <cell r="J686" t="str">
            <v>Drager</v>
          </cell>
          <cell r="K686" t="str">
            <v xml:space="preserve">Infinity Kappa </v>
          </cell>
          <cell r="L686">
            <v>5495290066</v>
          </cell>
          <cell r="M686">
            <v>2016</v>
          </cell>
          <cell r="N686">
            <v>1</v>
          </cell>
          <cell r="O686" t="str">
            <v>Invasivo</v>
          </cell>
          <cell r="R686" t="str">
            <v>Semestral</v>
          </cell>
        </row>
        <row r="687">
          <cell r="C687">
            <v>334</v>
          </cell>
          <cell r="D687" t="str">
            <v>2-112833</v>
          </cell>
          <cell r="E687" t="str">
            <v>Monitor Multiparámetros</v>
          </cell>
          <cell r="F687" t="str">
            <v>UPC Adulto</v>
          </cell>
          <cell r="G687" t="str">
            <v>UTI Adulto</v>
          </cell>
          <cell r="H687" t="str">
            <v>CAMA 22</v>
          </cell>
          <cell r="I687" t="str">
            <v>Adquirido</v>
          </cell>
          <cell r="J687" t="str">
            <v>Drager</v>
          </cell>
          <cell r="K687" t="str">
            <v xml:space="preserve">Infinity Kappa </v>
          </cell>
          <cell r="L687">
            <v>5495302268</v>
          </cell>
          <cell r="M687">
            <v>2016</v>
          </cell>
          <cell r="N687">
            <v>1</v>
          </cell>
          <cell r="O687" t="str">
            <v>Invasivo</v>
          </cell>
          <cell r="Q687" t="str">
            <v>Equipo es enviado a ST por reinicios constantes (13-05-25)</v>
          </cell>
          <cell r="R687" t="str">
            <v>Semestral</v>
          </cell>
        </row>
        <row r="688">
          <cell r="C688">
            <v>335</v>
          </cell>
          <cell r="D688" t="str">
            <v>2-112839</v>
          </cell>
          <cell r="E688" t="str">
            <v>Monitor Multiparámetros</v>
          </cell>
          <cell r="F688" t="str">
            <v>UPC Adulto</v>
          </cell>
          <cell r="G688" t="str">
            <v>UCI Adulto</v>
          </cell>
          <cell r="H688" t="str">
            <v>CAMA 16</v>
          </cell>
          <cell r="I688" t="str">
            <v>Adquirido</v>
          </cell>
          <cell r="J688" t="str">
            <v>Drager</v>
          </cell>
          <cell r="K688" t="str">
            <v xml:space="preserve">Infinity Kappa </v>
          </cell>
          <cell r="L688">
            <v>5495303668</v>
          </cell>
          <cell r="M688">
            <v>2016</v>
          </cell>
          <cell r="N688">
            <v>1</v>
          </cell>
          <cell r="O688" t="str">
            <v>Invasivo</v>
          </cell>
          <cell r="Q688" t="str">
            <v>Cambio de mando rotatorio 16-10-24</v>
          </cell>
          <cell r="R688" t="str">
            <v>Semestral</v>
          </cell>
        </row>
        <row r="689">
          <cell r="C689">
            <v>336</v>
          </cell>
          <cell r="D689" t="str">
            <v>2-112812</v>
          </cell>
          <cell r="E689" t="str">
            <v>Monitor Multiparámetros</v>
          </cell>
          <cell r="F689" t="str">
            <v>UPC Adulto</v>
          </cell>
          <cell r="G689" t="str">
            <v>UTI Adulto</v>
          </cell>
          <cell r="H689" t="str">
            <v>CAMA 10</v>
          </cell>
          <cell r="I689" t="str">
            <v>Adquirido</v>
          </cell>
          <cell r="J689" t="str">
            <v>Drager</v>
          </cell>
          <cell r="K689" t="str">
            <v xml:space="preserve">Infinity Kappa </v>
          </cell>
          <cell r="L689">
            <v>5495305167</v>
          </cell>
          <cell r="M689">
            <v>2016</v>
          </cell>
          <cell r="N689">
            <v>1</v>
          </cell>
          <cell r="O689" t="str">
            <v>Invasivo</v>
          </cell>
          <cell r="R689" t="str">
            <v>Semestral</v>
          </cell>
        </row>
        <row r="690">
          <cell r="C690">
            <v>337</v>
          </cell>
          <cell r="D690" t="str">
            <v>2-112813</v>
          </cell>
          <cell r="E690" t="str">
            <v>Monitor Multiparámetros</v>
          </cell>
          <cell r="F690" t="str">
            <v>UPC Adulto</v>
          </cell>
          <cell r="G690" t="str">
            <v>UTI Adulto</v>
          </cell>
          <cell r="H690" t="str">
            <v>CAMA 9</v>
          </cell>
          <cell r="I690" t="str">
            <v>Adquirido</v>
          </cell>
          <cell r="J690" t="str">
            <v>Drager</v>
          </cell>
          <cell r="K690" t="str">
            <v xml:space="preserve">Infinity Kappa </v>
          </cell>
          <cell r="L690">
            <v>5495307067</v>
          </cell>
          <cell r="M690">
            <v>2016</v>
          </cell>
          <cell r="N690">
            <v>1</v>
          </cell>
          <cell r="O690" t="str">
            <v>Invasivo</v>
          </cell>
          <cell r="Q690" t="str">
            <v>11-12-2025 Equipo es enviado a ST Folio ST 19-21406</v>
          </cell>
          <cell r="R690" t="str">
            <v>Semestral</v>
          </cell>
        </row>
        <row r="691">
          <cell r="C691">
            <v>338</v>
          </cell>
          <cell r="D691" t="str">
            <v>2-112801</v>
          </cell>
          <cell r="E691" t="str">
            <v>Monitor Multiparámetros</v>
          </cell>
          <cell r="F691" t="str">
            <v>UPC Adulto</v>
          </cell>
          <cell r="G691" t="str">
            <v>UTI Adulto</v>
          </cell>
          <cell r="H691" t="str">
            <v>CAMA 3</v>
          </cell>
          <cell r="I691" t="str">
            <v>Adquirido</v>
          </cell>
          <cell r="J691" t="str">
            <v>Drager</v>
          </cell>
          <cell r="K691" t="str">
            <v xml:space="preserve">Infinity Kappa </v>
          </cell>
          <cell r="L691">
            <v>5495307263</v>
          </cell>
          <cell r="M691">
            <v>2016</v>
          </cell>
          <cell r="N691">
            <v>1</v>
          </cell>
          <cell r="O691" t="str">
            <v>Invasivo</v>
          </cell>
          <cell r="R691" t="str">
            <v>Semestral</v>
          </cell>
        </row>
        <row r="692">
          <cell r="C692">
            <v>339</v>
          </cell>
          <cell r="D692" t="str">
            <v>2-112834</v>
          </cell>
          <cell r="E692" t="str">
            <v>Monitor Multiparámetros</v>
          </cell>
          <cell r="F692" t="str">
            <v>UPC Adulto</v>
          </cell>
          <cell r="G692" t="str">
            <v>UTI Adulto</v>
          </cell>
          <cell r="H692" t="str">
            <v>CAMA 21</v>
          </cell>
          <cell r="I692" t="str">
            <v>Adquirido</v>
          </cell>
          <cell r="J692" t="str">
            <v>Drager</v>
          </cell>
          <cell r="K692" t="str">
            <v xml:space="preserve">Infinity Kappa </v>
          </cell>
          <cell r="L692">
            <v>5495307762</v>
          </cell>
          <cell r="M692">
            <v>2016</v>
          </cell>
          <cell r="N692">
            <v>1</v>
          </cell>
          <cell r="O692" t="str">
            <v>Invasivo</v>
          </cell>
          <cell r="R692" t="str">
            <v>Semestral</v>
          </cell>
        </row>
        <row r="693">
          <cell r="C693">
            <v>340</v>
          </cell>
          <cell r="D693" t="str">
            <v>2-112840</v>
          </cell>
          <cell r="E693" t="str">
            <v>Monitor Multiparámetros</v>
          </cell>
          <cell r="F693" t="str">
            <v>UPC Adulto</v>
          </cell>
          <cell r="G693" t="str">
            <v>UCI Adulto</v>
          </cell>
          <cell r="H693" t="str">
            <v>CAMA 15</v>
          </cell>
          <cell r="I693" t="str">
            <v>Adquirido</v>
          </cell>
          <cell r="J693" t="str">
            <v>Drager</v>
          </cell>
          <cell r="K693" t="str">
            <v xml:space="preserve">Infinity Kappa </v>
          </cell>
          <cell r="L693">
            <v>5495310268</v>
          </cell>
          <cell r="M693">
            <v>2016</v>
          </cell>
          <cell r="N693">
            <v>1</v>
          </cell>
          <cell r="O693" t="str">
            <v>Invasivo</v>
          </cell>
          <cell r="Q693" t="str">
            <v>Cambio de mando rotatorio 18-10-24</v>
          </cell>
          <cell r="R693" t="str">
            <v>Semestral</v>
          </cell>
        </row>
        <row r="694">
          <cell r="C694">
            <v>341</v>
          </cell>
          <cell r="D694" t="str">
            <v>2-112830</v>
          </cell>
          <cell r="E694" t="str">
            <v>Monitor Multiparámetros</v>
          </cell>
          <cell r="F694" t="str">
            <v>UPC Adulto</v>
          </cell>
          <cell r="G694" t="str">
            <v>UTI Adulto</v>
          </cell>
          <cell r="H694" t="str">
            <v>CAMA 13</v>
          </cell>
          <cell r="I694" t="str">
            <v>Adquirido</v>
          </cell>
          <cell r="J694" t="str">
            <v>Drager</v>
          </cell>
          <cell r="K694" t="str">
            <v xml:space="preserve">Infinity Kappa </v>
          </cell>
          <cell r="L694">
            <v>5495310865</v>
          </cell>
          <cell r="M694">
            <v>2016</v>
          </cell>
          <cell r="N694">
            <v>1</v>
          </cell>
          <cell r="O694" t="str">
            <v>Invasivo</v>
          </cell>
          <cell r="Q694" t="str">
            <v>Cambio de mando rotatorio 17-10-24</v>
          </cell>
          <cell r="R694" t="str">
            <v>Semestral</v>
          </cell>
        </row>
        <row r="695">
          <cell r="C695">
            <v>342</v>
          </cell>
          <cell r="D695" t="str">
            <v>2-112827</v>
          </cell>
          <cell r="E695" t="str">
            <v>Monitor Multiparámetros</v>
          </cell>
          <cell r="F695" t="str">
            <v>UPC Adulto</v>
          </cell>
          <cell r="G695" t="str">
            <v>UTI Adulto</v>
          </cell>
          <cell r="H695" t="str">
            <v>CAMA 19</v>
          </cell>
          <cell r="I695" t="str">
            <v>Adquirido</v>
          </cell>
          <cell r="J695" t="str">
            <v>Drager</v>
          </cell>
          <cell r="K695" t="str">
            <v xml:space="preserve">Infinity Kappa </v>
          </cell>
          <cell r="L695">
            <v>5495311962</v>
          </cell>
          <cell r="M695">
            <v>2016</v>
          </cell>
          <cell r="N695">
            <v>1</v>
          </cell>
          <cell r="O695" t="str">
            <v>Invasivo</v>
          </cell>
          <cell r="Q695" t="str">
            <v>Cambio de mando rotatorio 17-10-24</v>
          </cell>
          <cell r="R695" t="str">
            <v>Semestral</v>
          </cell>
        </row>
        <row r="696">
          <cell r="C696">
            <v>343</v>
          </cell>
          <cell r="D696" t="str">
            <v>2-112831</v>
          </cell>
          <cell r="E696" t="str">
            <v>Monitor Multiparámetros</v>
          </cell>
          <cell r="F696" t="str">
            <v>UPC Adulto</v>
          </cell>
          <cell r="G696" t="str">
            <v>UTI Adulto</v>
          </cell>
          <cell r="H696" t="str">
            <v>CAMA 14</v>
          </cell>
          <cell r="I696" t="str">
            <v>Adquirido</v>
          </cell>
          <cell r="J696" t="str">
            <v>Drager</v>
          </cell>
          <cell r="K696" t="str">
            <v xml:space="preserve">Infinity Kappa </v>
          </cell>
          <cell r="L696">
            <v>5495313461</v>
          </cell>
          <cell r="M696">
            <v>2016</v>
          </cell>
          <cell r="N696">
            <v>1</v>
          </cell>
          <cell r="O696" t="str">
            <v>Invasivo</v>
          </cell>
          <cell r="R696" t="str">
            <v>Semestral</v>
          </cell>
        </row>
        <row r="697">
          <cell r="C697">
            <v>344</v>
          </cell>
          <cell r="D697" t="str">
            <v>2-112802</v>
          </cell>
          <cell r="E697" t="str">
            <v>Monitor Multiparámetros</v>
          </cell>
          <cell r="F697" t="str">
            <v>UPC Adulto</v>
          </cell>
          <cell r="G697" t="str">
            <v>UTI Adulto</v>
          </cell>
          <cell r="H697" t="str">
            <v>CAMA 6</v>
          </cell>
          <cell r="I697" t="str">
            <v>Adquirido</v>
          </cell>
          <cell r="J697" t="str">
            <v>Drager</v>
          </cell>
          <cell r="K697" t="str">
            <v xml:space="preserve">Infinity Kappa </v>
          </cell>
          <cell r="L697">
            <v>5495313764</v>
          </cell>
          <cell r="M697">
            <v>2016</v>
          </cell>
          <cell r="N697">
            <v>1</v>
          </cell>
          <cell r="O697" t="str">
            <v>Invasivo</v>
          </cell>
          <cell r="Q697" t="str">
            <v>Cambio de mando rotatorio 22-11-24</v>
          </cell>
          <cell r="R697" t="str">
            <v>Semestral</v>
          </cell>
        </row>
        <row r="698">
          <cell r="C698">
            <v>345</v>
          </cell>
          <cell r="D698" t="str">
            <v>2-110634</v>
          </cell>
          <cell r="E698" t="str">
            <v>Monitor Multiparámetros</v>
          </cell>
          <cell r="F698" t="str">
            <v>Imagenología</v>
          </cell>
          <cell r="G698" t="str">
            <v>Imagenología</v>
          </cell>
          <cell r="H698" t="str">
            <v>Resonancia</v>
          </cell>
          <cell r="I698" t="str">
            <v>Adquirido</v>
          </cell>
          <cell r="J698" t="str">
            <v>Tesla</v>
          </cell>
          <cell r="K698" t="str">
            <v>M3</v>
          </cell>
          <cell r="L698" t="str">
            <v>TM3M0264</v>
          </cell>
          <cell r="M698">
            <v>2016</v>
          </cell>
          <cell r="N698">
            <v>1</v>
          </cell>
          <cell r="O698" t="str">
            <v>No Invasivo</v>
          </cell>
          <cell r="R698" t="str">
            <v>Semestral</v>
          </cell>
        </row>
        <row r="699">
          <cell r="C699">
            <v>346</v>
          </cell>
          <cell r="D699" t="str">
            <v>2-112795</v>
          </cell>
          <cell r="E699" t="str">
            <v>Monitor Multiparámetros</v>
          </cell>
          <cell r="F699" t="str">
            <v>UPC Adulto</v>
          </cell>
          <cell r="G699" t="str">
            <v>UTI Adulto</v>
          </cell>
          <cell r="H699" t="str">
            <v>CAMA 2</v>
          </cell>
          <cell r="I699" t="str">
            <v>Adquirido</v>
          </cell>
          <cell r="J699" t="str">
            <v>Drager</v>
          </cell>
          <cell r="K699" t="str">
            <v xml:space="preserve">Infinity Kappa </v>
          </cell>
          <cell r="L699">
            <v>5495319063</v>
          </cell>
          <cell r="M699">
            <v>2016</v>
          </cell>
          <cell r="N699">
            <v>1</v>
          </cell>
          <cell r="O699" t="str">
            <v>Invasivo</v>
          </cell>
          <cell r="R699" t="str">
            <v>Semestral</v>
          </cell>
        </row>
        <row r="700">
          <cell r="C700">
            <v>347</v>
          </cell>
          <cell r="E700" t="str">
            <v>Monitor Multiparámetros</v>
          </cell>
          <cell r="N700" t="str">
            <v>Disponible</v>
          </cell>
        </row>
        <row r="701">
          <cell r="C701">
            <v>348</v>
          </cell>
          <cell r="D701" t="str">
            <v>2-112814</v>
          </cell>
          <cell r="E701" t="str">
            <v>Monitor Multiparámetros</v>
          </cell>
          <cell r="F701" t="str">
            <v>UPC Adulto</v>
          </cell>
          <cell r="G701" t="str">
            <v>UTI Adulto</v>
          </cell>
          <cell r="H701" t="str">
            <v>CAMA 8</v>
          </cell>
          <cell r="I701" t="str">
            <v>Adquirido</v>
          </cell>
          <cell r="J701" t="str">
            <v>Drager</v>
          </cell>
          <cell r="K701" t="str">
            <v xml:space="preserve">Infinity Kappa </v>
          </cell>
          <cell r="L701">
            <v>5495320364</v>
          </cell>
          <cell r="M701">
            <v>2016</v>
          </cell>
          <cell r="N701">
            <v>1</v>
          </cell>
          <cell r="O701" t="str">
            <v>Invasivo</v>
          </cell>
          <cell r="R701" t="str">
            <v>Semestral</v>
          </cell>
        </row>
        <row r="702">
          <cell r="C702">
            <v>349</v>
          </cell>
          <cell r="D702" t="str">
            <v>2-112828</v>
          </cell>
          <cell r="E702" t="str">
            <v>Monitor Multiparámetros</v>
          </cell>
          <cell r="F702" t="str">
            <v>UPC Adulto</v>
          </cell>
          <cell r="G702" t="str">
            <v>UCI Adulto</v>
          </cell>
          <cell r="H702" t="str">
            <v>CAMA 22</v>
          </cell>
          <cell r="I702" t="str">
            <v>Adquirido</v>
          </cell>
          <cell r="J702" t="str">
            <v>Drager</v>
          </cell>
          <cell r="K702" t="str">
            <v xml:space="preserve">Infinity Kappa </v>
          </cell>
          <cell r="L702">
            <v>5495320569</v>
          </cell>
          <cell r="M702">
            <v>2016</v>
          </cell>
          <cell r="N702">
            <v>1</v>
          </cell>
          <cell r="O702" t="str">
            <v>Invasivo</v>
          </cell>
          <cell r="Q702" t="str">
            <v>Cambio de mando rotatorio 11-10-24</v>
          </cell>
          <cell r="R702" t="str">
            <v>Semestral</v>
          </cell>
        </row>
        <row r="703">
          <cell r="C703">
            <v>350</v>
          </cell>
          <cell r="D703" t="str">
            <v>2-112829</v>
          </cell>
          <cell r="E703" t="str">
            <v>Monitor Multiparámetros</v>
          </cell>
          <cell r="F703" t="str">
            <v>UPC Adulto (Prestado a UPC 3er piso)</v>
          </cell>
          <cell r="G703" t="str">
            <v>Prestado a UPC 3er piso</v>
          </cell>
          <cell r="H703" t="str">
            <v>CAMA 6</v>
          </cell>
          <cell r="I703" t="str">
            <v>Adquirido</v>
          </cell>
          <cell r="J703" t="str">
            <v>Drager</v>
          </cell>
          <cell r="K703" t="str">
            <v xml:space="preserve">Infinity Kappa </v>
          </cell>
          <cell r="L703">
            <v>5495321363</v>
          </cell>
          <cell r="M703">
            <v>2016</v>
          </cell>
          <cell r="N703">
            <v>1</v>
          </cell>
          <cell r="O703" t="str">
            <v>Invasivo</v>
          </cell>
          <cell r="Q703" t="str">
            <v>trazabilidad</v>
          </cell>
          <cell r="R703" t="str">
            <v>Semestral</v>
          </cell>
        </row>
        <row r="704">
          <cell r="C704">
            <v>351</v>
          </cell>
          <cell r="D704" t="str">
            <v>2-112822</v>
          </cell>
          <cell r="E704" t="str">
            <v>Monitor Multiparámetros</v>
          </cell>
          <cell r="F704" t="str">
            <v>UPC Adulto</v>
          </cell>
          <cell r="G704" t="str">
            <v>UTI Adulto</v>
          </cell>
          <cell r="H704" t="str">
            <v>CAMA 18</v>
          </cell>
          <cell r="I704" t="str">
            <v>Adquirido</v>
          </cell>
          <cell r="J704" t="str">
            <v>Drager</v>
          </cell>
          <cell r="K704" t="str">
            <v xml:space="preserve">Infinity Kappa </v>
          </cell>
          <cell r="L704">
            <v>5495322460</v>
          </cell>
          <cell r="M704">
            <v>2016</v>
          </cell>
          <cell r="N704">
            <v>1</v>
          </cell>
          <cell r="O704" t="str">
            <v>Invasivo</v>
          </cell>
          <cell r="R704" t="str">
            <v>Semestral</v>
          </cell>
        </row>
        <row r="705">
          <cell r="C705">
            <v>352</v>
          </cell>
          <cell r="D705" t="str">
            <v>2-112815</v>
          </cell>
          <cell r="E705" t="str">
            <v>Monitor Multiparámetros</v>
          </cell>
          <cell r="F705" t="str">
            <v>UPC Adulto</v>
          </cell>
          <cell r="G705" t="str">
            <v>UTI Adulto</v>
          </cell>
          <cell r="H705" t="str">
            <v>CAMA 7</v>
          </cell>
          <cell r="I705" t="str">
            <v>Adquirido</v>
          </cell>
          <cell r="J705" t="str">
            <v>Drager</v>
          </cell>
          <cell r="K705" t="str">
            <v xml:space="preserve">Infinity Kappa </v>
          </cell>
          <cell r="L705">
            <v>5495323165</v>
          </cell>
          <cell r="M705">
            <v>2016</v>
          </cell>
          <cell r="N705">
            <v>1</v>
          </cell>
          <cell r="O705" t="str">
            <v>Invasivo</v>
          </cell>
          <cell r="R705" t="str">
            <v>Semestral</v>
          </cell>
        </row>
        <row r="706">
          <cell r="C706">
            <v>353</v>
          </cell>
          <cell r="D706" t="str">
            <v>2-112796</v>
          </cell>
          <cell r="E706" t="str">
            <v>Monitor Multiparámetros</v>
          </cell>
          <cell r="F706" t="str">
            <v>UPC Adulto</v>
          </cell>
          <cell r="G706" t="str">
            <v>UTI Adulto</v>
          </cell>
          <cell r="H706" t="str">
            <v>CAMA 1</v>
          </cell>
          <cell r="I706" t="str">
            <v>Adquirido</v>
          </cell>
          <cell r="J706" t="str">
            <v>Drager</v>
          </cell>
          <cell r="K706" t="str">
            <v xml:space="preserve">Infinity Kappa </v>
          </cell>
          <cell r="L706">
            <v>5495324164</v>
          </cell>
          <cell r="M706">
            <v>2016</v>
          </cell>
          <cell r="N706">
            <v>1</v>
          </cell>
          <cell r="O706" t="str">
            <v>Invasivo</v>
          </cell>
          <cell r="R706" t="str">
            <v>Semestral</v>
          </cell>
        </row>
        <row r="707">
          <cell r="C707">
            <v>354</v>
          </cell>
          <cell r="D707" t="str">
            <v>2-112835</v>
          </cell>
          <cell r="E707" t="str">
            <v>Monitor Multiparámetros</v>
          </cell>
          <cell r="F707" t="str">
            <v>UPC Adulto</v>
          </cell>
          <cell r="G707" t="str">
            <v>UTI Adulto</v>
          </cell>
          <cell r="H707" t="str">
            <v>CAMA 20</v>
          </cell>
          <cell r="I707" t="str">
            <v>Adquirido</v>
          </cell>
          <cell r="J707" t="str">
            <v>Drager</v>
          </cell>
          <cell r="K707" t="str">
            <v xml:space="preserve">Infinity Kappa </v>
          </cell>
          <cell r="L707">
            <v>5495324458</v>
          </cell>
          <cell r="M707">
            <v>2016</v>
          </cell>
          <cell r="N707">
            <v>1</v>
          </cell>
          <cell r="O707" t="str">
            <v>Invasivo</v>
          </cell>
          <cell r="Q707" t="str">
            <v>28.10.2025 se realiza cambio de mando rotatorio</v>
          </cell>
          <cell r="R707" t="str">
            <v>Semestral</v>
          </cell>
        </row>
        <row r="708">
          <cell r="C708">
            <v>355</v>
          </cell>
          <cell r="D708" t="str">
            <v>2-112837</v>
          </cell>
          <cell r="E708" t="str">
            <v>Monitor Multiparámetros</v>
          </cell>
          <cell r="F708" t="str">
            <v>UPC Adulto</v>
          </cell>
          <cell r="G708" t="str">
            <v>UTI Médica</v>
          </cell>
          <cell r="H708" t="str">
            <v>CAMA 12</v>
          </cell>
          <cell r="I708" t="str">
            <v>Adquirido</v>
          </cell>
          <cell r="J708" t="str">
            <v>Drager</v>
          </cell>
          <cell r="K708" t="str">
            <v xml:space="preserve">Infinity Kappa </v>
          </cell>
          <cell r="L708">
            <v>5495324565</v>
          </cell>
          <cell r="M708">
            <v>2016</v>
          </cell>
          <cell r="N708">
            <v>1</v>
          </cell>
          <cell r="O708" t="str">
            <v>Invasivo</v>
          </cell>
          <cell r="Q708" t="str">
            <v>29.10.2025 se realiza cambio de mando rotatorio</v>
          </cell>
          <cell r="R708" t="str">
            <v>Semestral</v>
          </cell>
        </row>
        <row r="709">
          <cell r="C709">
            <v>356</v>
          </cell>
          <cell r="D709" t="str">
            <v>2-112832</v>
          </cell>
          <cell r="E709" t="str">
            <v>Monitor Multiparámetros</v>
          </cell>
          <cell r="F709" t="str">
            <v>UPC Adulto</v>
          </cell>
          <cell r="G709" t="str">
            <v>UTI Adulto</v>
          </cell>
          <cell r="H709" t="str">
            <v>CAMA 15</v>
          </cell>
          <cell r="I709" t="str">
            <v>Adquirido</v>
          </cell>
          <cell r="J709" t="str">
            <v>Drager</v>
          </cell>
          <cell r="K709" t="str">
            <v xml:space="preserve">Infinity Kappa </v>
          </cell>
          <cell r="L709">
            <v>5495325858</v>
          </cell>
          <cell r="M709">
            <v>2016</v>
          </cell>
          <cell r="N709">
            <v>1</v>
          </cell>
          <cell r="O709" t="str">
            <v>Invasivo</v>
          </cell>
          <cell r="Q709" t="str">
            <v>29.10.2025 cambio de mando rotatorio</v>
          </cell>
          <cell r="R709" t="str">
            <v>Semestral</v>
          </cell>
        </row>
        <row r="710">
          <cell r="C710">
            <v>357</v>
          </cell>
          <cell r="D710" t="str">
            <v>2-112824</v>
          </cell>
          <cell r="E710" t="str">
            <v>Monitor Multiparámetros</v>
          </cell>
          <cell r="F710" t="str">
            <v>UPC Adulto</v>
          </cell>
          <cell r="G710" t="str">
            <v>UTI Adulto</v>
          </cell>
          <cell r="H710" t="str">
            <v>CAMA 17</v>
          </cell>
          <cell r="I710" t="str">
            <v>Adquirido</v>
          </cell>
          <cell r="J710" t="str">
            <v>Drager</v>
          </cell>
          <cell r="K710" t="str">
            <v xml:space="preserve">Infinity Kappa </v>
          </cell>
          <cell r="L710">
            <v>5495326064</v>
          </cell>
          <cell r="M710">
            <v>2016</v>
          </cell>
          <cell r="N710">
            <v>1</v>
          </cell>
          <cell r="O710" t="str">
            <v>Invasivo</v>
          </cell>
          <cell r="Q710" t="str">
            <v>27.10.2025 cambio de mando rotatorio</v>
          </cell>
          <cell r="R710" t="str">
            <v>Semestral</v>
          </cell>
        </row>
        <row r="711">
          <cell r="C711">
            <v>358</v>
          </cell>
          <cell r="D711" t="str">
            <v>2-112803</v>
          </cell>
          <cell r="E711" t="str">
            <v>Monitor Multiparámetros</v>
          </cell>
          <cell r="F711" t="str">
            <v>UPC Adulto</v>
          </cell>
          <cell r="G711" t="str">
            <v>UTI Adulto</v>
          </cell>
          <cell r="H711" t="str">
            <v>CAMA 5</v>
          </cell>
          <cell r="I711" t="str">
            <v>Adquirido</v>
          </cell>
          <cell r="J711" t="str">
            <v>Drager</v>
          </cell>
          <cell r="K711" t="str">
            <v xml:space="preserve">Infinity Kappa </v>
          </cell>
          <cell r="L711">
            <v>5495326456</v>
          </cell>
          <cell r="M711">
            <v>2016</v>
          </cell>
          <cell r="N711">
            <v>1</v>
          </cell>
          <cell r="O711" t="str">
            <v>Invasivo</v>
          </cell>
          <cell r="Q711" t="str">
            <v>Cambio de mando rotatorio 17-10-24</v>
          </cell>
          <cell r="R711" t="str">
            <v>Semestral</v>
          </cell>
        </row>
        <row r="712">
          <cell r="C712">
            <v>359</v>
          </cell>
          <cell r="D712" t="str">
            <v>2-112841</v>
          </cell>
          <cell r="E712" t="str">
            <v>Monitor Multiparámetros</v>
          </cell>
          <cell r="F712" t="str">
            <v>UPC Adulto</v>
          </cell>
          <cell r="G712" t="str">
            <v>UTI Adulto</v>
          </cell>
          <cell r="H712" t="str">
            <v>CAMA 22</v>
          </cell>
          <cell r="I712" t="str">
            <v>Adquirido</v>
          </cell>
          <cell r="J712" t="str">
            <v>Drager</v>
          </cell>
          <cell r="K712" t="str">
            <v xml:space="preserve">Infinity Kappa </v>
          </cell>
          <cell r="L712">
            <v>5495326955</v>
          </cell>
          <cell r="M712">
            <v>2016</v>
          </cell>
          <cell r="N712">
            <v>1</v>
          </cell>
          <cell r="O712" t="str">
            <v>Invasivo</v>
          </cell>
          <cell r="R712" t="str">
            <v>Semestral</v>
          </cell>
        </row>
        <row r="713">
          <cell r="C713">
            <v>360</v>
          </cell>
          <cell r="D713" t="str">
            <v>2-112943</v>
          </cell>
          <cell r="E713" t="str">
            <v>Monitor Multiparámetros</v>
          </cell>
          <cell r="F713" t="str">
            <v>Pabellón Quirúrgico</v>
          </cell>
          <cell r="G713" t="str">
            <v>Pabellón Central</v>
          </cell>
          <cell r="H713" t="str">
            <v>CDT-P2-QF03</v>
          </cell>
          <cell r="I713" t="str">
            <v>Adquirido</v>
          </cell>
          <cell r="J713" t="str">
            <v>Drager</v>
          </cell>
          <cell r="K713" t="str">
            <v>Infinity Kappa</v>
          </cell>
          <cell r="L713">
            <v>5495192163</v>
          </cell>
          <cell r="M713">
            <v>2015</v>
          </cell>
          <cell r="N713">
            <v>0</v>
          </cell>
          <cell r="O713" t="str">
            <v>Invasivo</v>
          </cell>
          <cell r="R713" t="str">
            <v>Semestral</v>
          </cell>
        </row>
        <row r="714">
          <cell r="C714">
            <v>361</v>
          </cell>
          <cell r="D714" t="str">
            <v>2-024371</v>
          </cell>
          <cell r="E714" t="str">
            <v>Monitor Multiparámetros</v>
          </cell>
          <cell r="F714" t="str">
            <v>Pabellón Quirúrgico (Prestado a Imagenología)</v>
          </cell>
          <cell r="G714" t="str">
            <v>Imagenología</v>
          </cell>
          <cell r="H714" t="str">
            <v>Scanner Siemens</v>
          </cell>
          <cell r="I714" t="str">
            <v>Adquirido</v>
          </cell>
          <cell r="J714" t="str">
            <v>Drager</v>
          </cell>
          <cell r="K714" t="str">
            <v>Infinity Kappa</v>
          </cell>
          <cell r="L714">
            <v>5495196658</v>
          </cell>
          <cell r="M714">
            <v>2013</v>
          </cell>
          <cell r="N714">
            <v>-2</v>
          </cell>
          <cell r="O714" t="str">
            <v>Invasivo</v>
          </cell>
          <cell r="Q714" t="str">
            <v>trazabilidad. Prestamo temporal 17-11-2023</v>
          </cell>
          <cell r="R714" t="str">
            <v>Semestral</v>
          </cell>
        </row>
        <row r="715">
          <cell r="C715">
            <v>362</v>
          </cell>
          <cell r="D715" t="str">
            <v>2-113299</v>
          </cell>
          <cell r="E715" t="str">
            <v>Monitor Multiparámetros</v>
          </cell>
          <cell r="F715" t="str">
            <v>Pediatría</v>
          </cell>
          <cell r="G715" t="str">
            <v>Pediatría Oncológica</v>
          </cell>
          <cell r="H715" t="str">
            <v>Oncología Pediátrica</v>
          </cell>
          <cell r="I715" t="str">
            <v>Donación</v>
          </cell>
          <cell r="J715" t="str">
            <v>EDAN</v>
          </cell>
          <cell r="K715" t="str">
            <v>IM50</v>
          </cell>
          <cell r="L715" t="str">
            <v>260123-M15803660005</v>
          </cell>
          <cell r="M715">
            <v>2017</v>
          </cell>
          <cell r="N715">
            <v>2</v>
          </cell>
          <cell r="R715" t="str">
            <v>Semestral</v>
          </cell>
        </row>
        <row r="716">
          <cell r="C716">
            <v>363</v>
          </cell>
          <cell r="D716" t="str">
            <v>2-113430</v>
          </cell>
          <cell r="E716" t="str">
            <v>Monitor Multiparámetros</v>
          </cell>
          <cell r="F716" t="str">
            <v>Quimioterapia Ambulatoria Adulto</v>
          </cell>
          <cell r="G716" t="str">
            <v>QMT Ambulatoria Adulto</v>
          </cell>
          <cell r="H716" t="str">
            <v>EPC-P2</v>
          </cell>
          <cell r="I716" t="str">
            <v>Adquirido</v>
          </cell>
          <cell r="J716" t="str">
            <v xml:space="preserve">Nihon Kohden </v>
          </cell>
          <cell r="K716" t="str">
            <v>BSM-2351K</v>
          </cell>
          <cell r="L716">
            <v>3648</v>
          </cell>
          <cell r="M716">
            <v>2017</v>
          </cell>
          <cell r="N716">
            <v>2</v>
          </cell>
          <cell r="O716" t="str">
            <v>No Invasivo</v>
          </cell>
          <cell r="R716" t="str">
            <v>Semestral</v>
          </cell>
        </row>
        <row r="717">
          <cell r="C717">
            <v>364</v>
          </cell>
          <cell r="D717" t="str">
            <v>2-112353</v>
          </cell>
          <cell r="E717" t="str">
            <v>Monitor Multiparámetros</v>
          </cell>
          <cell r="F717" t="str">
            <v>Cardiología (Prestado a Medicina cardiovascular)</v>
          </cell>
          <cell r="G717" t="str">
            <v>Medicina cardiovascular</v>
          </cell>
          <cell r="H717" t="str">
            <v>Zócalo</v>
          </cell>
          <cell r="I717" t="str">
            <v>Adquirido</v>
          </cell>
          <cell r="J717" t="str">
            <v>Drager</v>
          </cell>
          <cell r="K717" t="str">
            <v>Vista 120</v>
          </cell>
          <cell r="L717" t="str">
            <v>V2SFF0044</v>
          </cell>
          <cell r="M717">
            <v>2016</v>
          </cell>
          <cell r="N717">
            <v>1</v>
          </cell>
          <cell r="O717" t="str">
            <v>Invasivo</v>
          </cell>
          <cell r="Q717" t="str">
            <v>trazabilidad</v>
          </cell>
          <cell r="R717" t="str">
            <v>Semestral</v>
          </cell>
        </row>
        <row r="718">
          <cell r="C718">
            <v>365</v>
          </cell>
          <cell r="D718" t="str">
            <v>2-113189</v>
          </cell>
          <cell r="E718" t="str">
            <v>Monitor Multiparámetros</v>
          </cell>
          <cell r="F718" t="str">
            <v>Cardiología (Prestado a Medicina cardiovascular)</v>
          </cell>
          <cell r="G718" t="str">
            <v>Medicina cardiovascular</v>
          </cell>
          <cell r="H718" t="str">
            <v>Zócalo</v>
          </cell>
          <cell r="I718" t="str">
            <v>Adquirido</v>
          </cell>
          <cell r="J718" t="str">
            <v>Drager</v>
          </cell>
          <cell r="K718" t="str">
            <v>Vista 120</v>
          </cell>
          <cell r="L718" t="str">
            <v>V1SHL0116</v>
          </cell>
          <cell r="M718">
            <v>2016</v>
          </cell>
          <cell r="N718">
            <v>1</v>
          </cell>
          <cell r="O718" t="str">
            <v>Invasivo</v>
          </cell>
          <cell r="Q718" t="str">
            <v>trazabilidad</v>
          </cell>
          <cell r="R718" t="str">
            <v>Semestral</v>
          </cell>
        </row>
        <row r="719">
          <cell r="C719">
            <v>366</v>
          </cell>
          <cell r="D719" t="str">
            <v>2-113188</v>
          </cell>
          <cell r="E719" t="str">
            <v>Monitor Multiparámetros</v>
          </cell>
          <cell r="F719" t="str">
            <v>Electrofisiología</v>
          </cell>
          <cell r="G719" t="str">
            <v>Electrofisiología</v>
          </cell>
          <cell r="H719" t="str">
            <v>EPC 5to Piso</v>
          </cell>
          <cell r="I719" t="str">
            <v>Adquirido</v>
          </cell>
          <cell r="J719" t="str">
            <v>Drager</v>
          </cell>
          <cell r="K719" t="str">
            <v>Vista 120</v>
          </cell>
          <cell r="L719" t="str">
            <v>VQSHF0100</v>
          </cell>
          <cell r="M719">
            <v>2016</v>
          </cell>
          <cell r="N719">
            <v>1</v>
          </cell>
          <cell r="O719" t="str">
            <v>Invasivo</v>
          </cell>
          <cell r="R719" t="str">
            <v>Semestral</v>
          </cell>
        </row>
        <row r="720">
          <cell r="C720">
            <v>367</v>
          </cell>
          <cell r="D720" t="str">
            <v>2-110576</v>
          </cell>
          <cell r="E720" t="str">
            <v>Monitor Multiparámetros</v>
          </cell>
          <cell r="F720" t="str">
            <v>Neonatología</v>
          </cell>
          <cell r="G720" t="str">
            <v>UCI Neonatología</v>
          </cell>
          <cell r="I720" t="str">
            <v>Adquirido</v>
          </cell>
          <cell r="J720" t="str">
            <v>Philips</v>
          </cell>
          <cell r="K720" t="str">
            <v>MX500</v>
          </cell>
          <cell r="L720" t="str">
            <v>DE35137548</v>
          </cell>
          <cell r="M720">
            <v>2015</v>
          </cell>
          <cell r="N720">
            <v>0</v>
          </cell>
          <cell r="R720" t="str">
            <v>Semestral</v>
          </cell>
        </row>
        <row r="721">
          <cell r="C721">
            <v>368</v>
          </cell>
          <cell r="D721" t="str">
            <v>2-116713</v>
          </cell>
          <cell r="E721" t="str">
            <v>Monitor Multiparámetros</v>
          </cell>
          <cell r="F721" t="str">
            <v>UPC Adulto</v>
          </cell>
          <cell r="G721" t="str">
            <v>UTI Adulto</v>
          </cell>
          <cell r="H721" t="str">
            <v xml:space="preserve">Bodega </v>
          </cell>
          <cell r="I721" t="str">
            <v>Adquirido</v>
          </cell>
          <cell r="J721" t="str">
            <v>Drager</v>
          </cell>
          <cell r="K721" t="str">
            <v>Infinity Delta</v>
          </cell>
          <cell r="L721" t="str">
            <v>6009179462</v>
          </cell>
          <cell r="M721">
            <v>2018</v>
          </cell>
          <cell r="N721">
            <v>3</v>
          </cell>
          <cell r="O721" t="str">
            <v>Invasivo</v>
          </cell>
          <cell r="Q721" t="str">
            <v>OT 2024-121109-19-21306; Envío ST 13-03-2025 (N°47); OC 1488-307-TD25</v>
          </cell>
        </row>
        <row r="722">
          <cell r="C722">
            <v>369</v>
          </cell>
          <cell r="D722" t="str">
            <v>2-117052</v>
          </cell>
          <cell r="E722" t="str">
            <v>Monitor Multiparámetros</v>
          </cell>
          <cell r="F722" t="str">
            <v>Pabellones Gineco-Obstétricos</v>
          </cell>
          <cell r="G722" t="str">
            <v>Recuperación pabellón obstétrico</v>
          </cell>
          <cell r="H722" t="str">
            <v>Cama 3</v>
          </cell>
          <cell r="I722" t="str">
            <v>Adquirido</v>
          </cell>
          <cell r="J722" t="str">
            <v>Philips</v>
          </cell>
          <cell r="K722" t="str">
            <v>MX450</v>
          </cell>
          <cell r="L722" t="str">
            <v>DE351C1289</v>
          </cell>
          <cell r="M722">
            <v>2018</v>
          </cell>
          <cell r="N722">
            <v>3</v>
          </cell>
          <cell r="O722" t="str">
            <v>Invasivo</v>
          </cell>
          <cell r="R722" t="str">
            <v>Semestral</v>
          </cell>
        </row>
        <row r="723">
          <cell r="C723">
            <v>370</v>
          </cell>
          <cell r="D723" t="str">
            <v>2-117053</v>
          </cell>
          <cell r="E723" t="str">
            <v>Monitor Multiparámetros</v>
          </cell>
          <cell r="F723" t="str">
            <v>Pabellones Gineco-Obstétricos</v>
          </cell>
          <cell r="G723" t="str">
            <v>Recuperación pabellón obstétrico</v>
          </cell>
          <cell r="H723" t="str">
            <v>Cama 6</v>
          </cell>
          <cell r="I723" t="str">
            <v>Adquirido</v>
          </cell>
          <cell r="J723" t="str">
            <v>Philips</v>
          </cell>
          <cell r="K723" t="str">
            <v>MX450</v>
          </cell>
          <cell r="L723" t="str">
            <v>DE351C1464</v>
          </cell>
          <cell r="M723">
            <v>2018</v>
          </cell>
          <cell r="N723">
            <v>3</v>
          </cell>
          <cell r="O723" t="str">
            <v>Invasivo</v>
          </cell>
          <cell r="R723" t="str">
            <v>Semestral</v>
          </cell>
        </row>
        <row r="724">
          <cell r="C724">
            <v>371</v>
          </cell>
          <cell r="D724" t="str">
            <v>2-117054</v>
          </cell>
          <cell r="E724" t="str">
            <v>Monitor Multiparámetros</v>
          </cell>
          <cell r="F724" t="str">
            <v>Pabellones Gineco-Obstétricos</v>
          </cell>
          <cell r="G724" t="str">
            <v>Recuperación pabellón obstétrico</v>
          </cell>
          <cell r="H724" t="str">
            <v>CAMA 4</v>
          </cell>
          <cell r="I724" t="str">
            <v>Adquirido</v>
          </cell>
          <cell r="J724" t="str">
            <v>Philips</v>
          </cell>
          <cell r="K724" t="str">
            <v>MX450</v>
          </cell>
          <cell r="L724" t="str">
            <v>DE351C1468</v>
          </cell>
          <cell r="M724">
            <v>2018</v>
          </cell>
          <cell r="N724">
            <v>3</v>
          </cell>
          <cell r="O724" t="str">
            <v>Invasivo</v>
          </cell>
          <cell r="R724" t="str">
            <v>Semestral</v>
          </cell>
        </row>
        <row r="725">
          <cell r="C725">
            <v>372</v>
          </cell>
          <cell r="D725" t="str">
            <v>2-117055</v>
          </cell>
          <cell r="E725" t="str">
            <v>Monitor Multiparámetros</v>
          </cell>
          <cell r="F725" t="str">
            <v>Pabellones Gineco-Obstétricos</v>
          </cell>
          <cell r="G725" t="str">
            <v>Recuperación pabellón obstétrico</v>
          </cell>
          <cell r="H725" t="str">
            <v>Cama 7</v>
          </cell>
          <cell r="I725" t="str">
            <v>Adquirido</v>
          </cell>
          <cell r="J725" t="str">
            <v>Philips</v>
          </cell>
          <cell r="K725" t="str">
            <v>MX450</v>
          </cell>
          <cell r="L725" t="str">
            <v>DE351C1471</v>
          </cell>
          <cell r="M725">
            <v>2018</v>
          </cell>
          <cell r="N725">
            <v>3</v>
          </cell>
          <cell r="O725" t="str">
            <v>Invasivo</v>
          </cell>
          <cell r="R725" t="str">
            <v>Semestral</v>
          </cell>
        </row>
        <row r="726">
          <cell r="C726">
            <v>373</v>
          </cell>
          <cell r="D726" t="str">
            <v>2-117056</v>
          </cell>
          <cell r="E726" t="str">
            <v>Monitor Multiparámetros</v>
          </cell>
          <cell r="F726" t="str">
            <v>Pabellones Gineco-Obstétricos</v>
          </cell>
          <cell r="G726" t="str">
            <v>Recuperación pabellón obstétrico</v>
          </cell>
          <cell r="H726" t="str">
            <v>Cama 1</v>
          </cell>
          <cell r="I726" t="str">
            <v>Adquirido</v>
          </cell>
          <cell r="J726" t="str">
            <v>Philips</v>
          </cell>
          <cell r="K726" t="str">
            <v>MX450</v>
          </cell>
          <cell r="L726" t="str">
            <v>DE351C1466</v>
          </cell>
          <cell r="M726">
            <v>2018</v>
          </cell>
          <cell r="N726">
            <v>3</v>
          </cell>
          <cell r="O726" t="str">
            <v>Invasivo</v>
          </cell>
          <cell r="R726" t="str">
            <v>Semestral</v>
          </cell>
        </row>
        <row r="727">
          <cell r="C727">
            <v>374</v>
          </cell>
          <cell r="D727" t="str">
            <v>2-117057</v>
          </cell>
          <cell r="E727" t="str">
            <v>Monitor Multiparámetros</v>
          </cell>
          <cell r="F727" t="str">
            <v>Urgencias Gineco-Obstétricas</v>
          </cell>
          <cell r="G727" t="str">
            <v>Urgencia Obstétrica</v>
          </cell>
          <cell r="H727" t="str">
            <v>Pabellón</v>
          </cell>
          <cell r="I727" t="str">
            <v>Adquirido</v>
          </cell>
          <cell r="J727" t="str">
            <v>Philips</v>
          </cell>
          <cell r="K727" t="str">
            <v>MX450</v>
          </cell>
          <cell r="L727" t="str">
            <v>DE351C1288</v>
          </cell>
          <cell r="M727">
            <v>2018</v>
          </cell>
          <cell r="N727">
            <v>3</v>
          </cell>
          <cell r="O727" t="str">
            <v>Invasivo</v>
          </cell>
          <cell r="R727" t="str">
            <v>Semestral</v>
          </cell>
        </row>
        <row r="728">
          <cell r="C728">
            <v>375</v>
          </cell>
          <cell r="D728" t="str">
            <v>2-117540</v>
          </cell>
          <cell r="E728" t="str">
            <v>Monitor Multiparámetros</v>
          </cell>
          <cell r="F728" t="str">
            <v>Pabellones Gineco-Obstétricos</v>
          </cell>
          <cell r="G728" t="str">
            <v>Pabellones Gineco-Obstétricos</v>
          </cell>
          <cell r="H728" t="str">
            <v>Pabellón 2</v>
          </cell>
          <cell r="I728" t="str">
            <v>Adquirido</v>
          </cell>
          <cell r="J728" t="str">
            <v>Drager</v>
          </cell>
          <cell r="K728" t="str">
            <v>Infinity Kappa</v>
          </cell>
          <cell r="L728">
            <v>5495671163</v>
          </cell>
          <cell r="M728">
            <v>2018</v>
          </cell>
          <cell r="N728">
            <v>3</v>
          </cell>
          <cell r="O728" t="str">
            <v>Invasivo</v>
          </cell>
          <cell r="R728" t="str">
            <v>Semestral</v>
          </cell>
        </row>
        <row r="729">
          <cell r="C729">
            <v>376</v>
          </cell>
          <cell r="D729" t="str">
            <v>2-117733</v>
          </cell>
          <cell r="E729" t="str">
            <v>Monitor Multiparámetros</v>
          </cell>
          <cell r="F729" t="str">
            <v>Neonatología</v>
          </cell>
          <cell r="G729" t="str">
            <v>UCI Neonatología</v>
          </cell>
          <cell r="I729" t="str">
            <v>Arriendo</v>
          </cell>
          <cell r="J729" t="str">
            <v>Philips</v>
          </cell>
          <cell r="K729" t="str">
            <v>Intellivue MX550</v>
          </cell>
          <cell r="L729" t="str">
            <v>DE671E0395</v>
          </cell>
          <cell r="M729">
            <v>2019</v>
          </cell>
          <cell r="N729">
            <v>4</v>
          </cell>
          <cell r="O729" t="str">
            <v>Invasivo</v>
          </cell>
          <cell r="R729" t="str">
            <v>Semestral</v>
          </cell>
        </row>
        <row r="730">
          <cell r="C730">
            <v>377</v>
          </cell>
          <cell r="D730" t="str">
            <v>2-117734</v>
          </cell>
          <cell r="E730" t="str">
            <v>Monitor Multiparámetros</v>
          </cell>
          <cell r="F730" t="str">
            <v>Neonatología</v>
          </cell>
          <cell r="G730" t="str">
            <v>UCI Neonatología</v>
          </cell>
          <cell r="I730" t="str">
            <v>Arriendo</v>
          </cell>
          <cell r="J730" t="str">
            <v>Philips</v>
          </cell>
          <cell r="K730" t="str">
            <v>Intellivue MX550</v>
          </cell>
          <cell r="L730" t="str">
            <v>DE671E0396</v>
          </cell>
          <cell r="M730">
            <v>2019</v>
          </cell>
          <cell r="N730">
            <v>4</v>
          </cell>
          <cell r="O730" t="str">
            <v>Invasivo</v>
          </cell>
          <cell r="R730" t="str">
            <v>Semestral</v>
          </cell>
        </row>
        <row r="731">
          <cell r="C731">
            <v>378</v>
          </cell>
          <cell r="D731" t="str">
            <v>2-117735</v>
          </cell>
          <cell r="E731" t="str">
            <v>Monitor Multiparámetros</v>
          </cell>
          <cell r="F731" t="str">
            <v>Neonatología</v>
          </cell>
          <cell r="G731" t="str">
            <v>UCI Neonatología</v>
          </cell>
          <cell r="I731" t="str">
            <v>Arriendo</v>
          </cell>
          <cell r="J731" t="str">
            <v>Philips</v>
          </cell>
          <cell r="K731" t="str">
            <v>Intellivue MX550</v>
          </cell>
          <cell r="L731" t="str">
            <v>DE671E0397</v>
          </cell>
          <cell r="M731">
            <v>2019</v>
          </cell>
          <cell r="N731">
            <v>4</v>
          </cell>
          <cell r="O731" t="str">
            <v>Invasivo</v>
          </cell>
          <cell r="R731" t="str">
            <v>Semestral</v>
          </cell>
        </row>
        <row r="732">
          <cell r="C732">
            <v>379</v>
          </cell>
          <cell r="D732" t="str">
            <v>2-117736</v>
          </cell>
          <cell r="E732" t="str">
            <v>Monitor Multiparámetros</v>
          </cell>
          <cell r="F732" t="str">
            <v>Neonatología</v>
          </cell>
          <cell r="G732" t="str">
            <v>UCI Neonatología</v>
          </cell>
          <cell r="I732" t="str">
            <v>Arriendo</v>
          </cell>
          <cell r="J732" t="str">
            <v>Philips</v>
          </cell>
          <cell r="K732" t="str">
            <v>Intellivue MX550</v>
          </cell>
          <cell r="L732" t="str">
            <v>DE671E0398</v>
          </cell>
          <cell r="M732">
            <v>2019</v>
          </cell>
          <cell r="N732">
            <v>4</v>
          </cell>
          <cell r="O732" t="str">
            <v>Invasivo</v>
          </cell>
          <cell r="R732" t="str">
            <v>Semestral</v>
          </cell>
        </row>
        <row r="733">
          <cell r="C733">
            <v>380</v>
          </cell>
          <cell r="D733" t="str">
            <v>2-117737</v>
          </cell>
          <cell r="E733" t="str">
            <v>Monitor Multiparámetros</v>
          </cell>
          <cell r="F733" t="str">
            <v>Neonatología</v>
          </cell>
          <cell r="G733" t="str">
            <v>UCI Neonatología</v>
          </cell>
          <cell r="I733" t="str">
            <v>Arriendo</v>
          </cell>
          <cell r="J733" t="str">
            <v>Philips</v>
          </cell>
          <cell r="K733" t="str">
            <v>Intellivue MX550</v>
          </cell>
          <cell r="L733" t="str">
            <v>DE671E0399</v>
          </cell>
          <cell r="M733">
            <v>2019</v>
          </cell>
          <cell r="N733">
            <v>4</v>
          </cell>
          <cell r="O733" t="str">
            <v>Invasivo</v>
          </cell>
          <cell r="R733" t="str">
            <v>Semestral</v>
          </cell>
        </row>
        <row r="734">
          <cell r="C734">
            <v>381</v>
          </cell>
          <cell r="D734" t="str">
            <v>2-117738</v>
          </cell>
          <cell r="E734" t="str">
            <v>Monitor Multiparámetros</v>
          </cell>
          <cell r="F734" t="str">
            <v>Neonatología</v>
          </cell>
          <cell r="G734" t="str">
            <v>UCI Neonatología</v>
          </cell>
          <cell r="I734" t="str">
            <v>Arriendo</v>
          </cell>
          <cell r="J734" t="str">
            <v>Philips</v>
          </cell>
          <cell r="K734" t="str">
            <v>Intellivue MX550</v>
          </cell>
          <cell r="L734" t="str">
            <v>DE671E0401</v>
          </cell>
          <cell r="M734">
            <v>2019</v>
          </cell>
          <cell r="N734">
            <v>4</v>
          </cell>
          <cell r="O734" t="str">
            <v>Invasivo</v>
          </cell>
          <cell r="R734" t="str">
            <v>Semestral</v>
          </cell>
        </row>
        <row r="735">
          <cell r="C735">
            <v>382</v>
          </cell>
          <cell r="D735" t="str">
            <v>2-117739</v>
          </cell>
          <cell r="E735" t="str">
            <v>Monitor Multiparámetros</v>
          </cell>
          <cell r="F735" t="str">
            <v>Neonatología</v>
          </cell>
          <cell r="G735" t="str">
            <v>UCI Neonatología</v>
          </cell>
          <cell r="I735" t="str">
            <v>Arriendo</v>
          </cell>
          <cell r="J735" t="str">
            <v>Philips</v>
          </cell>
          <cell r="K735" t="str">
            <v>Intellivue MX550</v>
          </cell>
          <cell r="L735" t="str">
            <v>DE671E0403</v>
          </cell>
          <cell r="M735">
            <v>2019</v>
          </cell>
          <cell r="N735">
            <v>4</v>
          </cell>
          <cell r="O735" t="str">
            <v>Invasivo</v>
          </cell>
          <cell r="R735" t="str">
            <v>Semestral</v>
          </cell>
        </row>
        <row r="736">
          <cell r="C736">
            <v>383</v>
          </cell>
          <cell r="D736" t="str">
            <v>2-117740</v>
          </cell>
          <cell r="E736" t="str">
            <v>Monitor Multiparámetros</v>
          </cell>
          <cell r="F736" t="str">
            <v>Neonatología</v>
          </cell>
          <cell r="G736" t="str">
            <v>UCI Neonatología</v>
          </cell>
          <cell r="I736" t="str">
            <v>Arriendo</v>
          </cell>
          <cell r="J736" t="str">
            <v>Philips</v>
          </cell>
          <cell r="K736" t="str">
            <v>Intellivue MX550</v>
          </cell>
          <cell r="L736" t="str">
            <v>DE671E0404</v>
          </cell>
          <cell r="M736">
            <v>2019</v>
          </cell>
          <cell r="N736">
            <v>4</v>
          </cell>
          <cell r="O736" t="str">
            <v>Invasivo</v>
          </cell>
          <cell r="R736" t="str">
            <v>Semestral</v>
          </cell>
        </row>
        <row r="737">
          <cell r="C737">
            <v>384</v>
          </cell>
          <cell r="D737" t="str">
            <v>2-117741</v>
          </cell>
          <cell r="E737" t="str">
            <v>Monitor Multiparámetros</v>
          </cell>
          <cell r="F737" t="str">
            <v>Neonatología</v>
          </cell>
          <cell r="G737" t="str">
            <v>UCI Neonatología</v>
          </cell>
          <cell r="I737" t="str">
            <v>Arriendo</v>
          </cell>
          <cell r="J737" t="str">
            <v>Philips</v>
          </cell>
          <cell r="K737" t="str">
            <v>Intellivue MX550</v>
          </cell>
          <cell r="L737" t="str">
            <v>DE671E0405</v>
          </cell>
          <cell r="M737">
            <v>2019</v>
          </cell>
          <cell r="N737">
            <v>4</v>
          </cell>
          <cell r="O737" t="str">
            <v>Invasivo</v>
          </cell>
          <cell r="R737" t="str">
            <v>Semestral</v>
          </cell>
        </row>
        <row r="738">
          <cell r="C738">
            <v>385</v>
          </cell>
          <cell r="D738" t="str">
            <v>2-117742</v>
          </cell>
          <cell r="E738" t="str">
            <v>Monitor Multiparámetros</v>
          </cell>
          <cell r="F738" t="str">
            <v>Neonatología</v>
          </cell>
          <cell r="G738" t="str">
            <v>UCI Neonatología</v>
          </cell>
          <cell r="I738" t="str">
            <v>Arriendo</v>
          </cell>
          <cell r="J738" t="str">
            <v>Philips</v>
          </cell>
          <cell r="K738" t="str">
            <v>Intellivue MX550</v>
          </cell>
          <cell r="L738" t="str">
            <v>DE671E0406</v>
          </cell>
          <cell r="M738">
            <v>2019</v>
          </cell>
          <cell r="N738">
            <v>4</v>
          </cell>
          <cell r="O738" t="str">
            <v>Invasivo</v>
          </cell>
          <cell r="R738" t="str">
            <v>Semestral</v>
          </cell>
        </row>
        <row r="739">
          <cell r="C739">
            <v>386</v>
          </cell>
          <cell r="D739" t="str">
            <v>2-117743</v>
          </cell>
          <cell r="E739" t="str">
            <v>Monitor Multiparámetros</v>
          </cell>
          <cell r="F739" t="str">
            <v>Neonatología</v>
          </cell>
          <cell r="G739" t="str">
            <v>UCI Neonatología</v>
          </cell>
          <cell r="I739" t="str">
            <v>Arriendo</v>
          </cell>
          <cell r="J739" t="str">
            <v>Philips</v>
          </cell>
          <cell r="K739" t="str">
            <v>Intellivue MX550</v>
          </cell>
          <cell r="L739" t="str">
            <v>DE671E0407</v>
          </cell>
          <cell r="M739">
            <v>2019</v>
          </cell>
          <cell r="N739">
            <v>4</v>
          </cell>
          <cell r="O739" t="str">
            <v>Invasivo</v>
          </cell>
          <cell r="R739" t="str">
            <v>Semestral</v>
          </cell>
        </row>
        <row r="740">
          <cell r="C740">
            <v>387</v>
          </cell>
          <cell r="D740" t="str">
            <v>2-117744</v>
          </cell>
          <cell r="E740" t="str">
            <v>Monitor Multiparámetros</v>
          </cell>
          <cell r="F740" t="str">
            <v>Neonatología</v>
          </cell>
          <cell r="G740" t="str">
            <v>UCI Neonatología</v>
          </cell>
          <cell r="I740" t="str">
            <v>Arriendo</v>
          </cell>
          <cell r="J740" t="str">
            <v>Philips</v>
          </cell>
          <cell r="K740" t="str">
            <v>Intellivue MX550</v>
          </cell>
          <cell r="L740" t="str">
            <v>DE671E0408</v>
          </cell>
          <cell r="M740">
            <v>2019</v>
          </cell>
          <cell r="N740">
            <v>4</v>
          </cell>
          <cell r="O740" t="str">
            <v>Invasivo</v>
          </cell>
          <cell r="R740" t="str">
            <v>Semestral</v>
          </cell>
        </row>
        <row r="741">
          <cell r="C741">
            <v>388</v>
          </cell>
          <cell r="D741" t="str">
            <v>2-117745</v>
          </cell>
          <cell r="E741" t="str">
            <v>Monitor Multiparámetros</v>
          </cell>
          <cell r="F741" t="str">
            <v>Neonatología</v>
          </cell>
          <cell r="G741" t="str">
            <v>UCI Neonatología</v>
          </cell>
          <cell r="I741" t="str">
            <v>Arriendo</v>
          </cell>
          <cell r="J741" t="str">
            <v>Philips</v>
          </cell>
          <cell r="K741" t="str">
            <v>Intellivue MX550</v>
          </cell>
          <cell r="L741" t="str">
            <v>DE671E0409</v>
          </cell>
          <cell r="M741">
            <v>2019</v>
          </cell>
          <cell r="N741">
            <v>4</v>
          </cell>
          <cell r="O741" t="str">
            <v>Invasivo</v>
          </cell>
          <cell r="R741" t="str">
            <v>Semestral</v>
          </cell>
        </row>
        <row r="742">
          <cell r="C742">
            <v>389</v>
          </cell>
          <cell r="D742" t="str">
            <v>2-117746</v>
          </cell>
          <cell r="E742" t="str">
            <v>Monitor Multiparámetros</v>
          </cell>
          <cell r="F742" t="str">
            <v>Neonatología</v>
          </cell>
          <cell r="G742" t="str">
            <v>UCI Neonatología</v>
          </cell>
          <cell r="I742" t="str">
            <v>Arriendo</v>
          </cell>
          <cell r="J742" t="str">
            <v>Philips</v>
          </cell>
          <cell r="K742" t="str">
            <v>Intellivue MX550</v>
          </cell>
          <cell r="L742" t="str">
            <v>DE671E0410</v>
          </cell>
          <cell r="M742">
            <v>2019</v>
          </cell>
          <cell r="N742">
            <v>4</v>
          </cell>
          <cell r="O742" t="str">
            <v>Invasivo</v>
          </cell>
          <cell r="R742" t="str">
            <v>Semestral</v>
          </cell>
        </row>
        <row r="743">
          <cell r="C743">
            <v>390</v>
          </cell>
          <cell r="D743" t="str">
            <v>2-117747</v>
          </cell>
          <cell r="E743" t="str">
            <v>Monitor Multiparámetros</v>
          </cell>
          <cell r="F743" t="str">
            <v>Neonatología</v>
          </cell>
          <cell r="G743" t="str">
            <v>UCI Neonatología</v>
          </cell>
          <cell r="I743" t="str">
            <v>Arriendo</v>
          </cell>
          <cell r="J743" t="str">
            <v>Philips</v>
          </cell>
          <cell r="K743" t="str">
            <v>Intellivue MX550</v>
          </cell>
          <cell r="L743" t="str">
            <v>DE671E0434</v>
          </cell>
          <cell r="M743">
            <v>2019</v>
          </cell>
          <cell r="N743">
            <v>4</v>
          </cell>
          <cell r="O743" t="str">
            <v>Invasivo</v>
          </cell>
          <cell r="R743" t="str">
            <v>Semestral</v>
          </cell>
        </row>
        <row r="744">
          <cell r="C744">
            <v>391</v>
          </cell>
          <cell r="D744" t="str">
            <v>2-117748</v>
          </cell>
          <cell r="E744" t="str">
            <v>Monitor Multiparámetros</v>
          </cell>
          <cell r="F744" t="str">
            <v>Neonatología</v>
          </cell>
          <cell r="G744" t="str">
            <v>UCI Neonatología</v>
          </cell>
          <cell r="I744" t="str">
            <v>Arriendo</v>
          </cell>
          <cell r="J744" t="str">
            <v>Philips</v>
          </cell>
          <cell r="K744" t="str">
            <v>Intellivue MX550</v>
          </cell>
          <cell r="L744" t="str">
            <v>DE671E0435</v>
          </cell>
          <cell r="M744">
            <v>2019</v>
          </cell>
          <cell r="N744">
            <v>4</v>
          </cell>
          <cell r="O744" t="str">
            <v>Invasivo</v>
          </cell>
          <cell r="R744" t="str">
            <v>Semestral</v>
          </cell>
        </row>
        <row r="745">
          <cell r="C745">
            <v>392</v>
          </cell>
          <cell r="D745" t="str">
            <v>2-117818</v>
          </cell>
          <cell r="E745" t="str">
            <v>Monitor Multiparámetros</v>
          </cell>
          <cell r="F745" t="str">
            <v>Urgencia Adulto</v>
          </cell>
          <cell r="G745" t="str">
            <v>Urgencia Adulto</v>
          </cell>
          <cell r="H745" t="str">
            <v>Box 1 Neurología</v>
          </cell>
          <cell r="I745" t="str">
            <v>Arriendo</v>
          </cell>
          <cell r="J745" t="str">
            <v>Drager</v>
          </cell>
          <cell r="K745" t="str">
            <v>Vista 120</v>
          </cell>
          <cell r="L745" t="str">
            <v>VGSLN0003</v>
          </cell>
          <cell r="M745">
            <v>2019</v>
          </cell>
          <cell r="N745">
            <v>4</v>
          </cell>
          <cell r="O745" t="str">
            <v>Invasivo</v>
          </cell>
          <cell r="R745" t="str">
            <v>Semestral</v>
          </cell>
        </row>
        <row r="746">
          <cell r="C746">
            <v>393</v>
          </cell>
          <cell r="D746" t="str">
            <v>2-117819</v>
          </cell>
          <cell r="E746" t="str">
            <v>Monitor Multiparámetros</v>
          </cell>
          <cell r="F746" t="str">
            <v>Urgencia Adulto</v>
          </cell>
          <cell r="G746" t="str">
            <v>Urgencia Adulto</v>
          </cell>
          <cell r="H746" t="str">
            <v>Observación 1</v>
          </cell>
          <cell r="I746" t="str">
            <v>Arriendo</v>
          </cell>
          <cell r="J746" t="str">
            <v>Drager</v>
          </cell>
          <cell r="K746" t="str">
            <v>Vista 120</v>
          </cell>
          <cell r="L746" t="str">
            <v>VGSLN0002</v>
          </cell>
          <cell r="M746">
            <v>2019</v>
          </cell>
          <cell r="N746">
            <v>4</v>
          </cell>
          <cell r="O746" t="str">
            <v>Invasivo</v>
          </cell>
          <cell r="R746" t="str">
            <v>Semestral</v>
          </cell>
        </row>
        <row r="747">
          <cell r="C747">
            <v>394</v>
          </cell>
          <cell r="D747" t="str">
            <v>2-117820</v>
          </cell>
          <cell r="E747" t="str">
            <v>Monitor Multiparámetros</v>
          </cell>
          <cell r="F747" t="str">
            <v>Urgencia Adulto</v>
          </cell>
          <cell r="G747" t="str">
            <v>Urgencia Adulto</v>
          </cell>
          <cell r="H747" t="str">
            <v>Box 5 SAR</v>
          </cell>
          <cell r="I747" t="str">
            <v>Arriendo</v>
          </cell>
          <cell r="J747" t="str">
            <v>Drager</v>
          </cell>
          <cell r="K747" t="str">
            <v>Vista 120</v>
          </cell>
          <cell r="L747" t="str">
            <v>VGSLN0014</v>
          </cell>
          <cell r="M747">
            <v>2019</v>
          </cell>
          <cell r="N747">
            <v>4</v>
          </cell>
          <cell r="O747" t="str">
            <v>Invasivo</v>
          </cell>
          <cell r="R747" t="str">
            <v>Semestral</v>
          </cell>
        </row>
        <row r="748">
          <cell r="C748">
            <v>395</v>
          </cell>
          <cell r="D748" t="str">
            <v>2-117821</v>
          </cell>
          <cell r="E748" t="str">
            <v>Monitor Multiparámetros</v>
          </cell>
          <cell r="F748" t="str">
            <v>Urgencia Adulto</v>
          </cell>
          <cell r="G748" t="str">
            <v>Urgencia Adulto</v>
          </cell>
          <cell r="H748" t="str">
            <v>Observación 3</v>
          </cell>
          <cell r="I748" t="str">
            <v>Arriendo</v>
          </cell>
          <cell r="J748" t="str">
            <v>Drager</v>
          </cell>
          <cell r="K748" t="str">
            <v>Vista 120</v>
          </cell>
          <cell r="L748" t="str">
            <v>VGSLN0017</v>
          </cell>
          <cell r="M748">
            <v>2019</v>
          </cell>
          <cell r="N748">
            <v>4</v>
          </cell>
          <cell r="O748" t="str">
            <v>Invasivo</v>
          </cell>
          <cell r="R748" t="str">
            <v>Semestral</v>
          </cell>
        </row>
        <row r="749">
          <cell r="C749">
            <v>396</v>
          </cell>
          <cell r="D749" t="str">
            <v>2-117822</v>
          </cell>
          <cell r="E749" t="str">
            <v>Monitor Multiparámetros</v>
          </cell>
          <cell r="F749" t="str">
            <v>Urgencia Adulto (Prestado a Pediatría)</v>
          </cell>
          <cell r="G749" t="str">
            <v>Pediatría</v>
          </cell>
          <cell r="I749" t="str">
            <v>Arriendo</v>
          </cell>
          <cell r="J749" t="str">
            <v>Drager</v>
          </cell>
          <cell r="K749" t="str">
            <v>Vista 120</v>
          </cell>
          <cell r="L749" t="str">
            <v>VGSLN0049</v>
          </cell>
          <cell r="M749">
            <v>2019</v>
          </cell>
          <cell r="N749">
            <v>4</v>
          </cell>
          <cell r="O749" t="str">
            <v>Invasivo</v>
          </cell>
          <cell r="Q749" t="str">
            <v>trazabilidad.</v>
          </cell>
          <cell r="R749" t="str">
            <v>Semestral</v>
          </cell>
        </row>
        <row r="750">
          <cell r="C750">
            <v>397</v>
          </cell>
          <cell r="D750" t="str">
            <v>2-117823</v>
          </cell>
          <cell r="E750" t="str">
            <v>Monitor Multiparámetros</v>
          </cell>
          <cell r="F750" t="str">
            <v>Urgencia Adulto</v>
          </cell>
          <cell r="G750" t="str">
            <v>Urgencia Adulto</v>
          </cell>
          <cell r="H750" t="str">
            <v>Observación 2</v>
          </cell>
          <cell r="I750" t="str">
            <v>Arriendo</v>
          </cell>
          <cell r="J750" t="str">
            <v>Drager</v>
          </cell>
          <cell r="K750" t="str">
            <v>Vista 120</v>
          </cell>
          <cell r="L750" t="str">
            <v>VGSLN0079</v>
          </cell>
          <cell r="M750">
            <v>2019</v>
          </cell>
          <cell r="N750">
            <v>4</v>
          </cell>
          <cell r="O750" t="str">
            <v>Invasivo</v>
          </cell>
          <cell r="R750" t="str">
            <v>Semestral</v>
          </cell>
        </row>
        <row r="751">
          <cell r="C751">
            <v>398</v>
          </cell>
          <cell r="D751" t="str">
            <v>2-117814</v>
          </cell>
          <cell r="E751" t="str">
            <v>Monitor Multiparámetros</v>
          </cell>
          <cell r="F751" t="str">
            <v>Pabellón CMA</v>
          </cell>
          <cell r="G751" t="str">
            <v>Pabellón CMA</v>
          </cell>
          <cell r="H751" t="str">
            <v>Pabellón CMA 1</v>
          </cell>
          <cell r="I751" t="str">
            <v>Arriendo</v>
          </cell>
          <cell r="J751" t="str">
            <v>Drager</v>
          </cell>
          <cell r="K751" t="str">
            <v>M540</v>
          </cell>
          <cell r="L751">
            <v>5613359963</v>
          </cell>
          <cell r="M751">
            <v>2019</v>
          </cell>
          <cell r="N751">
            <v>4</v>
          </cell>
          <cell r="O751" t="str">
            <v>Invasivo</v>
          </cell>
          <cell r="R751" t="str">
            <v>Semestral</v>
          </cell>
        </row>
        <row r="752">
          <cell r="C752">
            <v>399</v>
          </cell>
          <cell r="D752" t="str">
            <v>2-117813</v>
          </cell>
          <cell r="E752" t="str">
            <v>Monitor Multiparámetros</v>
          </cell>
          <cell r="F752" t="str">
            <v>Pabellón Quirúrgico</v>
          </cell>
          <cell r="G752" t="str">
            <v>Pabellón Central</v>
          </cell>
          <cell r="H752" t="str">
            <v>Bodega</v>
          </cell>
          <cell r="I752" t="str">
            <v>Arriendo</v>
          </cell>
          <cell r="J752" t="str">
            <v>Drager</v>
          </cell>
          <cell r="K752" t="str">
            <v>M540</v>
          </cell>
          <cell r="L752">
            <v>5613354870</v>
          </cell>
          <cell r="M752">
            <v>2019</v>
          </cell>
          <cell r="N752">
            <v>4</v>
          </cell>
          <cell r="O752" t="str">
            <v>Invasivo</v>
          </cell>
          <cell r="R752" t="str">
            <v>Semestral</v>
          </cell>
        </row>
        <row r="753">
          <cell r="C753">
            <v>400</v>
          </cell>
          <cell r="D753" t="str">
            <v>2-117812</v>
          </cell>
          <cell r="E753" t="str">
            <v>Monitor Multiparámetros</v>
          </cell>
          <cell r="F753" t="str">
            <v>Pabellón Quirúrgico (Prestado a Pabellón CMA)</v>
          </cell>
          <cell r="G753" t="str">
            <v>Pabellon CMA</v>
          </cell>
          <cell r="H753" t="str">
            <v>Pabellon CMA 2</v>
          </cell>
          <cell r="I753" t="str">
            <v>Arriendo</v>
          </cell>
          <cell r="J753" t="str">
            <v>Drager</v>
          </cell>
          <cell r="K753" t="str">
            <v>M540</v>
          </cell>
          <cell r="L753">
            <v>5613360578</v>
          </cell>
          <cell r="M753">
            <v>2019</v>
          </cell>
          <cell r="N753">
            <v>4</v>
          </cell>
          <cell r="O753" t="str">
            <v>Invasivo</v>
          </cell>
          <cell r="Q753" t="str">
            <v>trazabilidad. Prestamo temporal 21-11-2023</v>
          </cell>
          <cell r="R753" t="str">
            <v>Semestral</v>
          </cell>
        </row>
        <row r="754">
          <cell r="C754">
            <v>401</v>
          </cell>
          <cell r="D754" t="str">
            <v>2-118846</v>
          </cell>
          <cell r="E754" t="str">
            <v>Monitor Multiparámetros</v>
          </cell>
          <cell r="F754" t="str">
            <v>Pabellón Quirúrgico</v>
          </cell>
          <cell r="G754" t="str">
            <v>Pabellón Central</v>
          </cell>
          <cell r="I754" t="str">
            <v>Adquirido</v>
          </cell>
          <cell r="J754" t="str">
            <v>Drager</v>
          </cell>
          <cell r="K754" t="str">
            <v>M540</v>
          </cell>
          <cell r="L754">
            <v>5613993759</v>
          </cell>
          <cell r="M754">
            <v>2020</v>
          </cell>
          <cell r="N754">
            <v>5</v>
          </cell>
          <cell r="O754" t="str">
            <v>Invasivo</v>
          </cell>
          <cell r="Q754" t="str">
            <v>Equipo no marca la PANI, se envía a ST #217</v>
          </cell>
          <cell r="R754" t="str">
            <v>Semestral</v>
          </cell>
        </row>
        <row r="755">
          <cell r="C755">
            <v>402</v>
          </cell>
          <cell r="D755" t="str">
            <v>2-118884</v>
          </cell>
          <cell r="E755" t="str">
            <v>Monitor Multiparámetros</v>
          </cell>
          <cell r="F755" t="str">
            <v>UPC Pediátrica</v>
          </cell>
          <cell r="G755" t="str">
            <v>UCI Pediátrica</v>
          </cell>
          <cell r="H755" t="str">
            <v>Bodega</v>
          </cell>
          <cell r="I755" t="str">
            <v>Adquirido</v>
          </cell>
          <cell r="J755" t="str">
            <v>General Electric</v>
          </cell>
          <cell r="K755" t="str">
            <v>B105</v>
          </cell>
          <cell r="L755" t="str">
            <v>SP318331750WA</v>
          </cell>
          <cell r="M755">
            <v>2019</v>
          </cell>
          <cell r="N755">
            <v>4</v>
          </cell>
          <cell r="O755" t="str">
            <v>Invasivo</v>
          </cell>
          <cell r="R755" t="str">
            <v>Semestral</v>
          </cell>
        </row>
        <row r="756">
          <cell r="C756">
            <v>403</v>
          </cell>
          <cell r="D756" t="str">
            <v>2-118881</v>
          </cell>
          <cell r="E756" t="str">
            <v>Monitor Multiparámetros</v>
          </cell>
          <cell r="F756" t="str">
            <v>UPC Pediátrica</v>
          </cell>
          <cell r="G756" t="str">
            <v>UCI Pediátrica</v>
          </cell>
          <cell r="H756" t="str">
            <v>Bodega</v>
          </cell>
          <cell r="I756" t="str">
            <v>Adquirido</v>
          </cell>
          <cell r="J756" t="str">
            <v>General Electric</v>
          </cell>
          <cell r="K756" t="str">
            <v>B105</v>
          </cell>
          <cell r="L756" t="str">
            <v>SP318443451WA</v>
          </cell>
          <cell r="M756">
            <v>2019</v>
          </cell>
          <cell r="N756">
            <v>4</v>
          </cell>
          <cell r="O756" t="str">
            <v>Invasivo</v>
          </cell>
          <cell r="Q756" t="str">
            <v>Equipo enviado a ST #163 OT asociado al folio 19-14413</v>
          </cell>
          <cell r="R756" t="str">
            <v>Semestral</v>
          </cell>
        </row>
        <row r="757">
          <cell r="C757">
            <v>404</v>
          </cell>
          <cell r="D757" t="str">
            <v>2-119653</v>
          </cell>
          <cell r="E757" t="str">
            <v>Monitor Multiparámetros</v>
          </cell>
          <cell r="F757" t="str">
            <v>Electrofisiología</v>
          </cell>
          <cell r="G757" t="str">
            <v>Electrofisiología</v>
          </cell>
          <cell r="H757" t="str">
            <v>EPC 5to Piso</v>
          </cell>
          <cell r="I757" t="str">
            <v>Adquirido</v>
          </cell>
          <cell r="J757" t="str">
            <v>General Electric</v>
          </cell>
          <cell r="K757" t="str">
            <v>B105</v>
          </cell>
          <cell r="L757" t="str">
            <v>SQE19510024SA</v>
          </cell>
          <cell r="M757">
            <v>2020</v>
          </cell>
          <cell r="N757">
            <v>5</v>
          </cell>
          <cell r="O757" t="str">
            <v>Invasivo</v>
          </cell>
          <cell r="R757" t="str">
            <v>Semestral</v>
          </cell>
        </row>
        <row r="758">
          <cell r="C758">
            <v>405</v>
          </cell>
          <cell r="D758" t="str">
            <v>2-119634</v>
          </cell>
          <cell r="E758" t="str">
            <v>Monitor Multiparámetros</v>
          </cell>
          <cell r="F758" t="str">
            <v>Cirugía Adulto</v>
          </cell>
          <cell r="G758" t="str">
            <v>Cirugia Adulto - Piso 3</v>
          </cell>
          <cell r="H758" t="str">
            <v>EPB</v>
          </cell>
          <cell r="I758" t="str">
            <v>Adquirido</v>
          </cell>
          <cell r="J758" t="str">
            <v>General Electric</v>
          </cell>
          <cell r="K758" t="str">
            <v>B105</v>
          </cell>
          <cell r="L758" t="str">
            <v>SQE19510025SA</v>
          </cell>
          <cell r="M758">
            <v>2020</v>
          </cell>
          <cell r="N758">
            <v>5</v>
          </cell>
          <cell r="O758" t="str">
            <v>Invasivo</v>
          </cell>
          <cell r="R758" t="str">
            <v>Semestral</v>
          </cell>
        </row>
        <row r="759">
          <cell r="C759">
            <v>406</v>
          </cell>
          <cell r="D759" t="str">
            <v>2-119635</v>
          </cell>
          <cell r="E759" t="str">
            <v>Monitor Multiparámetros</v>
          </cell>
          <cell r="F759" t="str">
            <v>UPC Cardiovascular</v>
          </cell>
          <cell r="G759" t="str">
            <v>UPC Cardiovascular</v>
          </cell>
          <cell r="H759" t="str">
            <v xml:space="preserve">Bodega </v>
          </cell>
          <cell r="I759" t="str">
            <v>Adquirido</v>
          </cell>
          <cell r="J759" t="str">
            <v>General Electric</v>
          </cell>
          <cell r="K759" t="str">
            <v>B105</v>
          </cell>
          <cell r="L759" t="str">
            <v>SQE19510026SA</v>
          </cell>
          <cell r="M759">
            <v>2020</v>
          </cell>
          <cell r="N759">
            <v>5</v>
          </cell>
          <cell r="O759" t="str">
            <v>Invasivo</v>
          </cell>
          <cell r="R759" t="str">
            <v>Semestral</v>
          </cell>
        </row>
        <row r="760">
          <cell r="C760">
            <v>407</v>
          </cell>
          <cell r="D760" t="str">
            <v>2-119637</v>
          </cell>
          <cell r="E760" t="str">
            <v>Monitor Multiparámetros</v>
          </cell>
          <cell r="F760" t="str">
            <v>Cirugía Adulto</v>
          </cell>
          <cell r="G760" t="str">
            <v>Cirugia Adulto - Piso 3</v>
          </cell>
          <cell r="H760" t="str">
            <v>EPA</v>
          </cell>
          <cell r="I760" t="str">
            <v>Adquirido</v>
          </cell>
          <cell r="J760" t="str">
            <v>General Electric</v>
          </cell>
          <cell r="K760" t="str">
            <v>B105</v>
          </cell>
          <cell r="L760" t="str">
            <v>SQE19510027SA</v>
          </cell>
          <cell r="M760">
            <v>2020</v>
          </cell>
          <cell r="N760">
            <v>5</v>
          </cell>
          <cell r="O760" t="str">
            <v>Invasivo</v>
          </cell>
          <cell r="R760" t="str">
            <v>Semestral</v>
          </cell>
        </row>
        <row r="761">
          <cell r="C761">
            <v>408</v>
          </cell>
          <cell r="D761" t="str">
            <v>2-119631</v>
          </cell>
          <cell r="E761" t="str">
            <v>Monitor Multiparámetros</v>
          </cell>
          <cell r="F761" t="str">
            <v>Medicina</v>
          </cell>
          <cell r="G761" t="str">
            <v>Medicina interna - 5to piso</v>
          </cell>
          <cell r="H761" t="str">
            <v>520-3</v>
          </cell>
          <cell r="I761" t="str">
            <v>Adquirido</v>
          </cell>
          <cell r="J761" t="str">
            <v>General Electric</v>
          </cell>
          <cell r="K761" t="str">
            <v>B105</v>
          </cell>
          <cell r="L761" t="str">
            <v>SQE19510029SA</v>
          </cell>
          <cell r="M761">
            <v>2020</v>
          </cell>
          <cell r="N761">
            <v>5</v>
          </cell>
          <cell r="O761" t="str">
            <v>Invasivo</v>
          </cell>
          <cell r="R761" t="str">
            <v>Semestral</v>
          </cell>
        </row>
        <row r="762">
          <cell r="C762">
            <v>409</v>
          </cell>
          <cell r="D762" t="str">
            <v>2-119636</v>
          </cell>
          <cell r="E762" t="str">
            <v>Monitor Multiparámetros</v>
          </cell>
          <cell r="F762" t="str">
            <v>Medicina (Prestado a medicina cardiovascular)</v>
          </cell>
          <cell r="G762" t="str">
            <v>Medicina cardiovascular</v>
          </cell>
          <cell r="H762" t="str">
            <v>Zócalo</v>
          </cell>
          <cell r="I762" t="str">
            <v>Adquirido</v>
          </cell>
          <cell r="J762" t="str">
            <v>General Electric</v>
          </cell>
          <cell r="K762" t="str">
            <v>B105</v>
          </cell>
          <cell r="L762" t="str">
            <v>SQE19510030SA</v>
          </cell>
          <cell r="M762">
            <v>2020</v>
          </cell>
          <cell r="N762">
            <v>5</v>
          </cell>
          <cell r="O762" t="str">
            <v>Invasivo</v>
          </cell>
          <cell r="Q762" t="str">
            <v>trazabilidad</v>
          </cell>
          <cell r="R762" t="str">
            <v>Semestral</v>
          </cell>
        </row>
        <row r="763">
          <cell r="C763">
            <v>410</v>
          </cell>
          <cell r="D763" t="str">
            <v>2-119630</v>
          </cell>
          <cell r="E763" t="str">
            <v>Monitor Multiparámetros</v>
          </cell>
          <cell r="F763" t="str">
            <v>Medicina</v>
          </cell>
          <cell r="G763" t="str">
            <v>Medicina interna - 5to piso</v>
          </cell>
          <cell r="H763" t="str">
            <v>516-2</v>
          </cell>
          <cell r="I763" t="str">
            <v>Adquirido</v>
          </cell>
          <cell r="J763" t="str">
            <v>General Electric</v>
          </cell>
          <cell r="K763" t="str">
            <v>B105</v>
          </cell>
          <cell r="L763" t="str">
            <v>SQE19510031SA</v>
          </cell>
          <cell r="M763">
            <v>2020</v>
          </cell>
          <cell r="N763">
            <v>5</v>
          </cell>
          <cell r="O763" t="str">
            <v>Invasivo</v>
          </cell>
          <cell r="R763" t="str">
            <v>Semestral</v>
          </cell>
        </row>
        <row r="764">
          <cell r="C764">
            <v>411</v>
          </cell>
          <cell r="D764" t="str">
            <v>2-119702</v>
          </cell>
          <cell r="E764" t="str">
            <v>Monitor Multiparámetros</v>
          </cell>
          <cell r="F764" t="str">
            <v>Medicina (Prestado a medicina cardiovascular)</v>
          </cell>
          <cell r="G764" t="str">
            <v>Medicina cardiovascular</v>
          </cell>
          <cell r="H764" t="str">
            <v>Zócalo</v>
          </cell>
          <cell r="I764" t="str">
            <v>Préstamo MINSAL</v>
          </cell>
          <cell r="J764" t="str">
            <v xml:space="preserve">Nihon Kohden </v>
          </cell>
          <cell r="K764" t="str">
            <v>PVM-2703</v>
          </cell>
          <cell r="L764" t="str">
            <v>0118020.</v>
          </cell>
          <cell r="M764">
            <v>2020</v>
          </cell>
          <cell r="N764">
            <v>5</v>
          </cell>
          <cell r="O764" t="str">
            <v>Invasivo</v>
          </cell>
          <cell r="Q764" t="str">
            <v>trazabilidad</v>
          </cell>
          <cell r="R764" t="str">
            <v>Semestral</v>
          </cell>
        </row>
        <row r="765">
          <cell r="C765">
            <v>412</v>
          </cell>
          <cell r="D765" t="str">
            <v>2-119703</v>
          </cell>
          <cell r="E765" t="str">
            <v>Monitor Multiparámetros</v>
          </cell>
          <cell r="F765" t="str">
            <v>Medicina</v>
          </cell>
          <cell r="G765" t="str">
            <v>Medicina interna - 5to piso</v>
          </cell>
          <cell r="H765" t="str">
            <v>518-2</v>
          </cell>
          <cell r="I765" t="str">
            <v>Préstamo MINSAL</v>
          </cell>
          <cell r="J765" t="str">
            <v xml:space="preserve">Nihon Kohden </v>
          </cell>
          <cell r="K765" t="str">
            <v>PVM-2703</v>
          </cell>
          <cell r="L765" t="str">
            <v>0118042.</v>
          </cell>
          <cell r="M765">
            <v>2020</v>
          </cell>
          <cell r="N765">
            <v>5</v>
          </cell>
          <cell r="O765" t="str">
            <v>Invasivo</v>
          </cell>
          <cell r="R765" t="str">
            <v>Semestral</v>
          </cell>
        </row>
        <row r="766">
          <cell r="C766">
            <v>413</v>
          </cell>
          <cell r="D766" t="str">
            <v>2-119704</v>
          </cell>
          <cell r="E766" t="str">
            <v>Monitor Multiparámetros</v>
          </cell>
          <cell r="F766" t="str">
            <v>Medicina</v>
          </cell>
          <cell r="G766" t="str">
            <v>Medicina interna - 5to piso</v>
          </cell>
          <cell r="H766" t="str">
            <v>521-3</v>
          </cell>
          <cell r="I766" t="str">
            <v>Préstamo MINSAL</v>
          </cell>
          <cell r="J766" t="str">
            <v xml:space="preserve">Nihon Kohden </v>
          </cell>
          <cell r="K766" t="str">
            <v>PVM-2703</v>
          </cell>
          <cell r="L766" t="str">
            <v>0117935.</v>
          </cell>
          <cell r="M766">
            <v>2020</v>
          </cell>
          <cell r="N766">
            <v>5</v>
          </cell>
          <cell r="O766" t="str">
            <v>Invasivo</v>
          </cell>
          <cell r="R766" t="str">
            <v>Semestral</v>
          </cell>
        </row>
        <row r="767">
          <cell r="C767">
            <v>414</v>
          </cell>
          <cell r="D767" t="str">
            <v>2-119705</v>
          </cell>
          <cell r="E767" t="str">
            <v>Monitor Multiparámetros</v>
          </cell>
          <cell r="F767" t="str">
            <v>Medicina</v>
          </cell>
          <cell r="G767" t="str">
            <v>Medicina interna - 5to piso</v>
          </cell>
          <cell r="I767" t="str">
            <v>Préstamo MINSAL</v>
          </cell>
          <cell r="J767" t="str">
            <v xml:space="preserve">Nihon Kohden </v>
          </cell>
          <cell r="K767" t="str">
            <v>PVM-2703</v>
          </cell>
          <cell r="L767" t="str">
            <v>0118040.</v>
          </cell>
          <cell r="M767">
            <v>2020</v>
          </cell>
          <cell r="N767">
            <v>5</v>
          </cell>
          <cell r="O767" t="str">
            <v>Invasivo</v>
          </cell>
          <cell r="R767" t="str">
            <v>Semestral</v>
          </cell>
        </row>
        <row r="768">
          <cell r="C768">
            <v>415</v>
          </cell>
          <cell r="D768" t="str">
            <v>2-119706</v>
          </cell>
          <cell r="E768" t="str">
            <v>Monitor Multiparámetros</v>
          </cell>
          <cell r="F768" t="str">
            <v>Medicina</v>
          </cell>
          <cell r="G768" t="str">
            <v>Medicina interna - 5to piso</v>
          </cell>
          <cell r="H768" t="str">
            <v>518-3</v>
          </cell>
          <cell r="I768" t="str">
            <v>Préstamo MINSAL</v>
          </cell>
          <cell r="J768" t="str">
            <v xml:space="preserve">Nihon Kohden </v>
          </cell>
          <cell r="K768" t="str">
            <v>PVM-2703</v>
          </cell>
          <cell r="L768" t="str">
            <v>0118006.</v>
          </cell>
          <cell r="M768">
            <v>2020</v>
          </cell>
          <cell r="N768">
            <v>5</v>
          </cell>
          <cell r="O768" t="str">
            <v>Invasivo</v>
          </cell>
          <cell r="R768" t="str">
            <v>Semestral</v>
          </cell>
        </row>
        <row r="769">
          <cell r="C769">
            <v>416</v>
          </cell>
          <cell r="D769" t="str">
            <v>2-119707</v>
          </cell>
          <cell r="E769" t="str">
            <v>Monitor Multiparámetros</v>
          </cell>
          <cell r="F769" t="str">
            <v>Urgencia infantil</v>
          </cell>
          <cell r="G769" t="str">
            <v>Urgencia infantil</v>
          </cell>
          <cell r="I769" t="str">
            <v>Préstamo MINSAL</v>
          </cell>
          <cell r="J769" t="str">
            <v xml:space="preserve">Nihon Kohden </v>
          </cell>
          <cell r="K769" t="str">
            <v>PVM-2703</v>
          </cell>
          <cell r="L769" t="str">
            <v>0117960.</v>
          </cell>
          <cell r="M769">
            <v>2020</v>
          </cell>
          <cell r="N769">
            <v>5</v>
          </cell>
          <cell r="O769" t="str">
            <v>Invasivo</v>
          </cell>
          <cell r="R769" t="str">
            <v>Semestral</v>
          </cell>
        </row>
        <row r="770">
          <cell r="C770">
            <v>417</v>
          </cell>
          <cell r="D770" t="str">
            <v>2-119708</v>
          </cell>
          <cell r="E770" t="str">
            <v>Monitor Multiparámetros</v>
          </cell>
          <cell r="F770" t="str">
            <v>Urgencia infantil</v>
          </cell>
          <cell r="G770" t="str">
            <v>Urgencia infantil</v>
          </cell>
          <cell r="I770" t="str">
            <v>Préstamo MINSAL</v>
          </cell>
          <cell r="J770" t="str">
            <v xml:space="preserve">Nihon Kohden </v>
          </cell>
          <cell r="K770" t="str">
            <v>PVM-2703</v>
          </cell>
          <cell r="L770" t="str">
            <v>0117934.</v>
          </cell>
          <cell r="M770">
            <v>2020</v>
          </cell>
          <cell r="N770">
            <v>5</v>
          </cell>
          <cell r="O770" t="str">
            <v>Invasivo</v>
          </cell>
          <cell r="R770" t="str">
            <v>Semestral</v>
          </cell>
        </row>
        <row r="771">
          <cell r="C771">
            <v>418</v>
          </cell>
          <cell r="D771" t="str">
            <v>2-119709</v>
          </cell>
          <cell r="E771" t="str">
            <v>Monitor Multiparámetros</v>
          </cell>
          <cell r="F771" t="str">
            <v>Urgencia Adulto</v>
          </cell>
          <cell r="G771" t="str">
            <v>Urgencia Adulto</v>
          </cell>
          <cell r="H771" t="str">
            <v>Box A-2</v>
          </cell>
          <cell r="I771" t="str">
            <v>Préstamo MINSAL</v>
          </cell>
          <cell r="J771" t="str">
            <v xml:space="preserve">Nihon Kohden </v>
          </cell>
          <cell r="K771" t="str">
            <v>PVM-2703</v>
          </cell>
          <cell r="L771">
            <v>117925</v>
          </cell>
          <cell r="M771">
            <v>2020</v>
          </cell>
          <cell r="N771">
            <v>5</v>
          </cell>
          <cell r="O771" t="str">
            <v>Invasivo</v>
          </cell>
          <cell r="Q771" t="str">
            <v>Mantención preventiva, problemas de bateria ST 19-17465</v>
          </cell>
          <cell r="R771" t="str">
            <v>Semestral</v>
          </cell>
        </row>
        <row r="772">
          <cell r="C772">
            <v>419</v>
          </cell>
          <cell r="D772" t="str">
            <v>2-119710</v>
          </cell>
          <cell r="E772" t="str">
            <v>Monitor Multiparámetros</v>
          </cell>
          <cell r="F772" t="str">
            <v>Urgencia infantil</v>
          </cell>
          <cell r="G772" t="str">
            <v>Urgencia infantil</v>
          </cell>
          <cell r="H772" t="str">
            <v>Bodega equipos SUI</v>
          </cell>
          <cell r="I772" t="str">
            <v>Préstamo MINSAL</v>
          </cell>
          <cell r="J772" t="str">
            <v xml:space="preserve">Nihon Kohden </v>
          </cell>
          <cell r="K772" t="str">
            <v>PVM-2703</v>
          </cell>
          <cell r="L772" t="str">
            <v>0117936.</v>
          </cell>
          <cell r="M772">
            <v>2020</v>
          </cell>
          <cell r="N772">
            <v>5</v>
          </cell>
          <cell r="O772" t="str">
            <v>Invasivo</v>
          </cell>
          <cell r="R772" t="str">
            <v>Semestral</v>
          </cell>
        </row>
        <row r="773">
          <cell r="C773">
            <v>420</v>
          </cell>
          <cell r="D773" t="str">
            <v>2-119711</v>
          </cell>
          <cell r="E773" t="str">
            <v>Monitor Multiparámetros</v>
          </cell>
          <cell r="F773" t="str">
            <v>Urgencia Adulto</v>
          </cell>
          <cell r="G773" t="str">
            <v>Urgencia Adulto</v>
          </cell>
          <cell r="H773" t="str">
            <v>Priorización</v>
          </cell>
          <cell r="I773" t="str">
            <v>Préstamo MINSAL</v>
          </cell>
          <cell r="J773" t="str">
            <v xml:space="preserve">Nihon Kohden </v>
          </cell>
          <cell r="K773" t="str">
            <v>PVM-2703</v>
          </cell>
          <cell r="L773">
            <v>117954</v>
          </cell>
          <cell r="M773">
            <v>2020</v>
          </cell>
          <cell r="N773">
            <v>5</v>
          </cell>
          <cell r="O773" t="str">
            <v>Invasivo</v>
          </cell>
          <cell r="R773" t="str">
            <v>Semestral</v>
          </cell>
        </row>
        <row r="774">
          <cell r="C774">
            <v>421</v>
          </cell>
          <cell r="D774" t="str">
            <v>2-119713</v>
          </cell>
          <cell r="E774" t="str">
            <v>Monitor Multiparámetros</v>
          </cell>
          <cell r="F774" t="str">
            <v>Servicio Social</v>
          </cell>
          <cell r="G774" t="str">
            <v>Servicio Social</v>
          </cell>
          <cell r="H774" t="str">
            <v>Reanimación box 3</v>
          </cell>
          <cell r="I774" t="str">
            <v>Adquirido</v>
          </cell>
          <cell r="J774" t="str">
            <v>MATIMED</v>
          </cell>
          <cell r="K774" t="str">
            <v>MN-580</v>
          </cell>
          <cell r="L774">
            <v>1810190910101</v>
          </cell>
          <cell r="M774">
            <v>2020</v>
          </cell>
          <cell r="N774">
            <v>5</v>
          </cell>
          <cell r="O774" t="str">
            <v>No Invasivo</v>
          </cell>
          <cell r="R774" t="str">
            <v>Semestral</v>
          </cell>
        </row>
        <row r="775">
          <cell r="C775">
            <v>422</v>
          </cell>
          <cell r="D775" t="str">
            <v>2-119741</v>
          </cell>
          <cell r="E775" t="str">
            <v>Monitor Multiparámetros</v>
          </cell>
          <cell r="F775" t="str">
            <v>UPC 3er Piso</v>
          </cell>
          <cell r="G775" t="str">
            <v>UCI 3er Piso</v>
          </cell>
          <cell r="H775" t="str">
            <v>UCI 1</v>
          </cell>
          <cell r="I775" t="str">
            <v>Adquirido</v>
          </cell>
          <cell r="J775" t="str">
            <v>Drager</v>
          </cell>
          <cell r="K775" t="str">
            <v>Infinity Kappa</v>
          </cell>
          <cell r="L775">
            <v>5495679556</v>
          </cell>
          <cell r="M775">
            <v>2020</v>
          </cell>
          <cell r="N775">
            <v>5</v>
          </cell>
          <cell r="O775" t="str">
            <v>Invasivo</v>
          </cell>
          <cell r="R775" t="str">
            <v>Semestral</v>
          </cell>
        </row>
        <row r="776">
          <cell r="C776">
            <v>423</v>
          </cell>
          <cell r="D776" t="str">
            <v>2-119742</v>
          </cell>
          <cell r="E776" t="str">
            <v>Monitor Multiparámetros</v>
          </cell>
          <cell r="F776" t="str">
            <v>UPC 3er Piso</v>
          </cell>
          <cell r="G776" t="str">
            <v>UCI 3er Piso</v>
          </cell>
          <cell r="H776" t="str">
            <v>UCI 2</v>
          </cell>
          <cell r="I776" t="str">
            <v>Adquirido</v>
          </cell>
          <cell r="J776" t="str">
            <v>Drager</v>
          </cell>
          <cell r="K776" t="str">
            <v>Infinity Kappa</v>
          </cell>
          <cell r="L776">
            <v>5495714162</v>
          </cell>
          <cell r="M776">
            <v>2020</v>
          </cell>
          <cell r="N776">
            <v>5</v>
          </cell>
          <cell r="O776" t="str">
            <v>Invasivo</v>
          </cell>
          <cell r="R776" t="str">
            <v>Semestral</v>
          </cell>
        </row>
        <row r="777">
          <cell r="C777">
            <v>424</v>
          </cell>
          <cell r="D777" t="str">
            <v>2-119743</v>
          </cell>
          <cell r="E777" t="str">
            <v>Monitor Multiparámetros</v>
          </cell>
          <cell r="F777" t="str">
            <v>UPC 3er Piso</v>
          </cell>
          <cell r="G777" t="str">
            <v>UCI 3er Piso</v>
          </cell>
          <cell r="H777" t="str">
            <v>UCI 3</v>
          </cell>
          <cell r="I777" t="str">
            <v>Adquirido</v>
          </cell>
          <cell r="J777" t="str">
            <v>Drager</v>
          </cell>
          <cell r="K777" t="str">
            <v>Infinity Kappa</v>
          </cell>
          <cell r="L777">
            <v>5495709257</v>
          </cell>
          <cell r="M777">
            <v>2020</v>
          </cell>
          <cell r="N777">
            <v>5</v>
          </cell>
          <cell r="O777" t="str">
            <v>Invasivo</v>
          </cell>
          <cell r="R777" t="str">
            <v>Semestral</v>
          </cell>
        </row>
        <row r="778">
          <cell r="C778">
            <v>425</v>
          </cell>
          <cell r="D778" t="str">
            <v>2-119744</v>
          </cell>
          <cell r="E778" t="str">
            <v>Monitor Multiparámetros</v>
          </cell>
          <cell r="F778" t="str">
            <v>UPC 3er Piso</v>
          </cell>
          <cell r="G778" t="str">
            <v>UCI 3er Piso</v>
          </cell>
          <cell r="H778" t="str">
            <v>UCI 5</v>
          </cell>
          <cell r="I778" t="str">
            <v>Adquirido</v>
          </cell>
          <cell r="J778" t="str">
            <v>Drager</v>
          </cell>
          <cell r="K778" t="str">
            <v>Infinity Kappa</v>
          </cell>
          <cell r="L778">
            <v>5495706162</v>
          </cell>
          <cell r="M778">
            <v>2020</v>
          </cell>
          <cell r="N778">
            <v>5</v>
          </cell>
          <cell r="O778" t="str">
            <v>Invasivo</v>
          </cell>
          <cell r="R778" t="str">
            <v>Semestral</v>
          </cell>
        </row>
        <row r="779">
          <cell r="C779">
            <v>426</v>
          </cell>
          <cell r="D779" t="str">
            <v>2-119745</v>
          </cell>
          <cell r="E779" t="str">
            <v>Monitor Multiparámetros</v>
          </cell>
          <cell r="F779" t="str">
            <v>UPC 3er Piso</v>
          </cell>
          <cell r="G779" t="str">
            <v>UCI 3er Piso</v>
          </cell>
          <cell r="H779" t="str">
            <v xml:space="preserve">UCI 7 </v>
          </cell>
          <cell r="I779" t="str">
            <v>Adquirido</v>
          </cell>
          <cell r="J779" t="str">
            <v>Drager</v>
          </cell>
          <cell r="K779" t="str">
            <v>Infinity Kappa</v>
          </cell>
          <cell r="L779">
            <v>5495686254</v>
          </cell>
          <cell r="M779">
            <v>2020</v>
          </cell>
          <cell r="N779">
            <v>5</v>
          </cell>
          <cell r="O779" t="str">
            <v>Invasivo</v>
          </cell>
          <cell r="R779" t="str">
            <v>Semestral</v>
          </cell>
        </row>
        <row r="780">
          <cell r="C780">
            <v>427</v>
          </cell>
          <cell r="D780" t="str">
            <v>2-120244</v>
          </cell>
          <cell r="E780" t="str">
            <v>Monitor Multiparámetros</v>
          </cell>
          <cell r="F780" t="str">
            <v>UPC 3er Piso</v>
          </cell>
          <cell r="G780" t="str">
            <v>UTI 3er Piso</v>
          </cell>
          <cell r="H780" t="str">
            <v>UTI 9</v>
          </cell>
          <cell r="I780" t="str">
            <v>Préstamo MINSAL</v>
          </cell>
          <cell r="J780" t="str">
            <v>SPACELABS HEALTHCARE</v>
          </cell>
          <cell r="K780" t="str">
            <v>XPREZZON</v>
          </cell>
          <cell r="L780" t="str">
            <v>1393-113289</v>
          </cell>
          <cell r="M780">
            <v>2020</v>
          </cell>
          <cell r="N780">
            <v>5</v>
          </cell>
          <cell r="O780" t="str">
            <v>Invasivo</v>
          </cell>
          <cell r="R780" t="str">
            <v>Semestral</v>
          </cell>
        </row>
        <row r="781">
          <cell r="C781">
            <v>428</v>
          </cell>
          <cell r="D781" t="str">
            <v>2-120245</v>
          </cell>
          <cell r="E781" t="str">
            <v>Monitor Multiparámetros</v>
          </cell>
          <cell r="F781" t="str">
            <v>UPC 3er Piso</v>
          </cell>
          <cell r="G781" t="str">
            <v>UTI 3er Piso</v>
          </cell>
          <cell r="H781" t="str">
            <v>UTI 5</v>
          </cell>
          <cell r="I781" t="str">
            <v>Préstamo MINSAL</v>
          </cell>
          <cell r="J781" t="str">
            <v>SPACELABS HEALTHCARE</v>
          </cell>
          <cell r="K781" t="str">
            <v>XPREZZON</v>
          </cell>
          <cell r="L781" t="str">
            <v>1393-113283</v>
          </cell>
          <cell r="M781">
            <v>2020</v>
          </cell>
          <cell r="N781">
            <v>5</v>
          </cell>
          <cell r="O781" t="str">
            <v>Invasivo</v>
          </cell>
          <cell r="R781" t="str">
            <v>Semestral</v>
          </cell>
        </row>
        <row r="782">
          <cell r="C782">
            <v>429</v>
          </cell>
          <cell r="D782" t="str">
            <v>2-120246</v>
          </cell>
          <cell r="E782" t="str">
            <v>Monitor Multiparámetros</v>
          </cell>
          <cell r="F782" t="str">
            <v>UPC 3er Piso</v>
          </cell>
          <cell r="G782" t="str">
            <v>UTI 3er Piso</v>
          </cell>
          <cell r="H782" t="str">
            <v>UTI 8</v>
          </cell>
          <cell r="I782" t="str">
            <v>Préstamo MINSAL</v>
          </cell>
          <cell r="J782" t="str">
            <v>SPACELABS HEALTHCARE</v>
          </cell>
          <cell r="K782" t="str">
            <v>XPREZZON</v>
          </cell>
          <cell r="L782" t="str">
            <v>1393-113290</v>
          </cell>
          <cell r="M782">
            <v>2020</v>
          </cell>
          <cell r="N782">
            <v>5</v>
          </cell>
          <cell r="O782" t="str">
            <v>Invasivo</v>
          </cell>
          <cell r="R782" t="str">
            <v>Semestral</v>
          </cell>
        </row>
        <row r="783">
          <cell r="C783">
            <v>430</v>
          </cell>
          <cell r="D783" t="str">
            <v>2-120247</v>
          </cell>
          <cell r="E783" t="str">
            <v>Monitor Multiparámetros</v>
          </cell>
          <cell r="F783" t="str">
            <v>UPC 3er Piso</v>
          </cell>
          <cell r="G783" t="str">
            <v>UTI 3er Piso</v>
          </cell>
          <cell r="H783" t="str">
            <v>UTI 10</v>
          </cell>
          <cell r="I783" t="str">
            <v>Préstamo MINSAL</v>
          </cell>
          <cell r="J783" t="str">
            <v>SPACELABS HEALTHCARE</v>
          </cell>
          <cell r="K783" t="str">
            <v>XPREZZON</v>
          </cell>
          <cell r="L783" t="str">
            <v>1393-113276</v>
          </cell>
          <cell r="M783">
            <v>2020</v>
          </cell>
          <cell r="N783">
            <v>5</v>
          </cell>
          <cell r="O783" t="str">
            <v>Invasivo</v>
          </cell>
          <cell r="R783" t="str">
            <v>Semestral</v>
          </cell>
        </row>
        <row r="784">
          <cell r="C784">
            <v>431</v>
          </cell>
          <cell r="D784" t="str">
            <v>2-120248</v>
          </cell>
          <cell r="E784" t="str">
            <v>Monitor Multiparámetros</v>
          </cell>
          <cell r="F784" t="str">
            <v>UPC 3er Piso</v>
          </cell>
          <cell r="G784" t="str">
            <v>UTI 3er Piso</v>
          </cell>
          <cell r="H784" t="str">
            <v>UTI 7</v>
          </cell>
          <cell r="I784" t="str">
            <v>Préstamo MINSAL</v>
          </cell>
          <cell r="J784" t="str">
            <v>SPACELABS HEALTHCARE</v>
          </cell>
          <cell r="K784" t="str">
            <v>XPREZZON</v>
          </cell>
          <cell r="L784" t="str">
            <v>1393-113292</v>
          </cell>
          <cell r="M784">
            <v>2020</v>
          </cell>
          <cell r="N784">
            <v>5</v>
          </cell>
          <cell r="O784" t="str">
            <v>Invasivo</v>
          </cell>
          <cell r="R784" t="str">
            <v>Semestral</v>
          </cell>
        </row>
        <row r="785">
          <cell r="C785">
            <v>432</v>
          </cell>
          <cell r="D785" t="str">
            <v>2-120249</v>
          </cell>
          <cell r="E785" t="str">
            <v>Monitor Multiparámetros</v>
          </cell>
          <cell r="F785" t="str">
            <v>UPC 3er Piso</v>
          </cell>
          <cell r="G785" t="str">
            <v>UTI 3er Piso</v>
          </cell>
          <cell r="H785" t="str">
            <v>UTI 6</v>
          </cell>
          <cell r="I785" t="str">
            <v>Préstamo MINSAL</v>
          </cell>
          <cell r="J785" t="str">
            <v>SPACELABS HEALTHCARE</v>
          </cell>
          <cell r="K785" t="str">
            <v>XPREZZON</v>
          </cell>
          <cell r="L785" t="str">
            <v>1393-113279</v>
          </cell>
          <cell r="M785">
            <v>2020</v>
          </cell>
          <cell r="N785">
            <v>5</v>
          </cell>
          <cell r="O785" t="str">
            <v>Invasivo</v>
          </cell>
          <cell r="R785" t="str">
            <v>Semestral</v>
          </cell>
        </row>
        <row r="786">
          <cell r="C786">
            <v>433</v>
          </cell>
          <cell r="D786" t="str">
            <v>2-124829</v>
          </cell>
          <cell r="E786" t="str">
            <v>Monitor Multiparámetros</v>
          </cell>
          <cell r="F786" t="str">
            <v>Imagenología</v>
          </cell>
          <cell r="G786" t="str">
            <v>Imagenología Resonancia</v>
          </cell>
          <cell r="I786" t="str">
            <v>Adquirido</v>
          </cell>
          <cell r="J786" t="str">
            <v>SCHILLER</v>
          </cell>
          <cell r="K786" t="str">
            <v>MAGELIFE Serenity</v>
          </cell>
          <cell r="L786">
            <v>94999001058</v>
          </cell>
          <cell r="M786">
            <v>2020</v>
          </cell>
          <cell r="N786">
            <v>5</v>
          </cell>
          <cell r="O786" t="str">
            <v>No Invasivo</v>
          </cell>
          <cell r="R786" t="str">
            <v>Semestral</v>
          </cell>
        </row>
        <row r="787">
          <cell r="C787">
            <v>434</v>
          </cell>
          <cell r="D787" t="str">
            <v>2-120428</v>
          </cell>
          <cell r="E787" t="str">
            <v>Monitor Multiparámetros</v>
          </cell>
          <cell r="F787" t="str">
            <v>Urgencia Adulto</v>
          </cell>
          <cell r="G787" t="str">
            <v>Urgencia Adulto</v>
          </cell>
          <cell r="H787" t="str">
            <v>Reanimación box 3</v>
          </cell>
          <cell r="I787" t="str">
            <v>Préstamo MINSAL</v>
          </cell>
          <cell r="J787" t="str">
            <v>Mindray</v>
          </cell>
          <cell r="K787" t="str">
            <v>BeneVision N17</v>
          </cell>
          <cell r="L787" t="str">
            <v>F2-04008218</v>
          </cell>
          <cell r="M787">
            <v>2020</v>
          </cell>
          <cell r="N787">
            <v>5</v>
          </cell>
          <cell r="O787" t="str">
            <v>Invasivo</v>
          </cell>
          <cell r="R787" t="str">
            <v>Semestral</v>
          </cell>
        </row>
        <row r="788">
          <cell r="C788">
            <v>435</v>
          </cell>
          <cell r="D788" t="str">
            <v>2-120427</v>
          </cell>
          <cell r="E788" t="str">
            <v>Monitor Multiparámetros</v>
          </cell>
          <cell r="F788" t="str">
            <v>Urgencia Adulto</v>
          </cell>
          <cell r="G788" t="str">
            <v>Urgencia Adulto</v>
          </cell>
          <cell r="H788" t="str">
            <v>Box A-1</v>
          </cell>
          <cell r="I788" t="str">
            <v>Préstamo MINSAL</v>
          </cell>
          <cell r="J788" t="str">
            <v>Mindray</v>
          </cell>
          <cell r="K788" t="str">
            <v>BeneVision N17</v>
          </cell>
          <cell r="L788" t="str">
            <v>F2-04008204</v>
          </cell>
          <cell r="M788">
            <v>2020</v>
          </cell>
          <cell r="N788">
            <v>5</v>
          </cell>
          <cell r="O788" t="str">
            <v>Invasivo</v>
          </cell>
          <cell r="R788" t="str">
            <v>Semestral</v>
          </cell>
        </row>
        <row r="789">
          <cell r="C789">
            <v>436</v>
          </cell>
          <cell r="D789" t="str">
            <v>2-120429</v>
          </cell>
          <cell r="E789" t="str">
            <v>Monitor Multiparámetros</v>
          </cell>
          <cell r="F789" t="str">
            <v>Urgencia Adulto</v>
          </cell>
          <cell r="G789" t="str">
            <v>Urgencia Adulto</v>
          </cell>
          <cell r="H789" t="str">
            <v>Reanimación box 2</v>
          </cell>
          <cell r="I789" t="str">
            <v>Préstamo MINSAL</v>
          </cell>
          <cell r="J789" t="str">
            <v>Mindray</v>
          </cell>
          <cell r="K789" t="str">
            <v>BeneVision N17</v>
          </cell>
          <cell r="L789" t="str">
            <v>F2-04008289</v>
          </cell>
          <cell r="M789">
            <v>2020</v>
          </cell>
          <cell r="N789">
            <v>5</v>
          </cell>
          <cell r="O789" t="str">
            <v>Invasivo</v>
          </cell>
          <cell r="R789" t="str">
            <v>Semestral</v>
          </cell>
        </row>
        <row r="790">
          <cell r="C790">
            <v>437</v>
          </cell>
          <cell r="D790" t="str">
            <v>2-120430</v>
          </cell>
          <cell r="E790" t="str">
            <v>Monitor Multiparámetros</v>
          </cell>
          <cell r="F790" t="str">
            <v>Urgencia Adulto</v>
          </cell>
          <cell r="G790" t="str">
            <v>Urgencia Adulto</v>
          </cell>
          <cell r="H790" t="str">
            <v xml:space="preserve">Reanimación box 1 </v>
          </cell>
          <cell r="I790" t="str">
            <v>Préstamo MINSAL</v>
          </cell>
          <cell r="J790" t="str">
            <v>Mindray</v>
          </cell>
          <cell r="K790" t="str">
            <v>BeneVision N17</v>
          </cell>
          <cell r="L790" t="str">
            <v>F2-04008141</v>
          </cell>
          <cell r="M790">
            <v>2020</v>
          </cell>
          <cell r="N790">
            <v>5</v>
          </cell>
          <cell r="O790" t="str">
            <v>Invasivo</v>
          </cell>
          <cell r="R790" t="str">
            <v>Semestral</v>
          </cell>
        </row>
        <row r="791">
          <cell r="C791">
            <v>438</v>
          </cell>
          <cell r="D791" t="str">
            <v>2-120574</v>
          </cell>
          <cell r="E791" t="str">
            <v>Monitor Multiparámetros</v>
          </cell>
          <cell r="F791" t="str">
            <v>UPC 3er Piso</v>
          </cell>
          <cell r="G791" t="str">
            <v>UTI 3er Piso</v>
          </cell>
          <cell r="H791" t="str">
            <v>UTI 2</v>
          </cell>
          <cell r="I791" t="str">
            <v>Adquirido</v>
          </cell>
          <cell r="J791" t="str">
            <v>SPACELABS HEALTHCARE</v>
          </cell>
          <cell r="K791" t="str">
            <v>XPREZZON</v>
          </cell>
          <cell r="L791" t="str">
            <v>1393-114595</v>
          </cell>
          <cell r="M791">
            <v>2020</v>
          </cell>
          <cell r="N791">
            <v>5</v>
          </cell>
          <cell r="O791" t="str">
            <v>Invasivo</v>
          </cell>
          <cell r="R791" t="str">
            <v>Semestral</v>
          </cell>
        </row>
        <row r="792">
          <cell r="C792">
            <v>439</v>
          </cell>
          <cell r="D792" t="str">
            <v>2-120575</v>
          </cell>
          <cell r="E792" t="str">
            <v>Monitor Multiparámetros</v>
          </cell>
          <cell r="F792" t="str">
            <v>UPC 3er Piso</v>
          </cell>
          <cell r="G792" t="str">
            <v>UTI 3er Piso</v>
          </cell>
          <cell r="H792" t="str">
            <v>Sala medico</v>
          </cell>
          <cell r="I792" t="str">
            <v>Adquirido</v>
          </cell>
          <cell r="J792" t="str">
            <v>SPACELABS HEALTHCARE</v>
          </cell>
          <cell r="K792" t="str">
            <v>XPREZZON</v>
          </cell>
          <cell r="L792" t="str">
            <v>1393-114598</v>
          </cell>
          <cell r="M792">
            <v>2020</v>
          </cell>
          <cell r="N792">
            <v>5</v>
          </cell>
          <cell r="O792" t="str">
            <v>Invasivo</v>
          </cell>
          <cell r="R792" t="str">
            <v>Semestral</v>
          </cell>
        </row>
        <row r="793">
          <cell r="C793">
            <v>440</v>
          </cell>
          <cell r="D793" t="str">
            <v>2-120576</v>
          </cell>
          <cell r="E793" t="str">
            <v>Monitor Multiparámetros</v>
          </cell>
          <cell r="F793" t="str">
            <v>UPC 3er Piso</v>
          </cell>
          <cell r="G793" t="str">
            <v>UTI 3er Piso</v>
          </cell>
          <cell r="H793" t="str">
            <v>Sala medico</v>
          </cell>
          <cell r="I793" t="str">
            <v>Adquirido</v>
          </cell>
          <cell r="J793" t="str">
            <v>SPACELABS HEALTHCARE</v>
          </cell>
          <cell r="K793" t="str">
            <v>XPREZZON</v>
          </cell>
          <cell r="L793" t="str">
            <v>1393-114593</v>
          </cell>
          <cell r="M793">
            <v>2020</v>
          </cell>
          <cell r="N793">
            <v>5</v>
          </cell>
          <cell r="O793" t="str">
            <v>Invasivo</v>
          </cell>
          <cell r="R793" t="str">
            <v>Semestral</v>
          </cell>
        </row>
        <row r="794">
          <cell r="C794">
            <v>441</v>
          </cell>
          <cell r="D794" t="str">
            <v>2-120572</v>
          </cell>
          <cell r="E794" t="str">
            <v>Monitor Multiparámetros</v>
          </cell>
          <cell r="F794" t="str">
            <v>UPC 3er Piso</v>
          </cell>
          <cell r="G794" t="str">
            <v>UTI 3er Piso</v>
          </cell>
          <cell r="H794" t="str">
            <v>UTI 4</v>
          </cell>
          <cell r="I794" t="str">
            <v>Adquirido</v>
          </cell>
          <cell r="J794" t="str">
            <v>SPACELABS HEALTHCARE</v>
          </cell>
          <cell r="K794" t="str">
            <v>XPREZZON</v>
          </cell>
          <cell r="L794" t="str">
            <v>1393-114597</v>
          </cell>
          <cell r="M794">
            <v>2020</v>
          </cell>
          <cell r="N794">
            <v>5</v>
          </cell>
          <cell r="O794" t="str">
            <v>Invasivo</v>
          </cell>
          <cell r="R794" t="str">
            <v>Semestral</v>
          </cell>
        </row>
        <row r="795">
          <cell r="C795">
            <v>442</v>
          </cell>
          <cell r="D795" t="str">
            <v>2-120573</v>
          </cell>
          <cell r="E795" t="str">
            <v>Monitor Multiparámetros</v>
          </cell>
          <cell r="F795" t="str">
            <v>UPC 3er Piso</v>
          </cell>
          <cell r="G795" t="str">
            <v>UTI 3er Piso</v>
          </cell>
          <cell r="H795" t="str">
            <v>UTI 3</v>
          </cell>
          <cell r="I795" t="str">
            <v>Adquirido</v>
          </cell>
          <cell r="J795" t="str">
            <v>SPACELABS HEALTHCARE</v>
          </cell>
          <cell r="K795" t="str">
            <v>XPREZZON</v>
          </cell>
          <cell r="L795" t="str">
            <v>1393-114596</v>
          </cell>
          <cell r="M795">
            <v>2020</v>
          </cell>
          <cell r="N795">
            <v>5</v>
          </cell>
          <cell r="O795" t="str">
            <v>Invasivo</v>
          </cell>
          <cell r="R795" t="str">
            <v>Semestral</v>
          </cell>
        </row>
        <row r="796">
          <cell r="C796">
            <v>443</v>
          </cell>
          <cell r="D796" t="str">
            <v>2-120776</v>
          </cell>
          <cell r="E796" t="str">
            <v>Monitor Multiparámetros</v>
          </cell>
          <cell r="F796" t="str">
            <v>UPC 3er Piso</v>
          </cell>
          <cell r="G796" t="str">
            <v>Bodega</v>
          </cell>
          <cell r="H796" t="str">
            <v>Bodega</v>
          </cell>
          <cell r="I796" t="str">
            <v>Préstamo MINSAL</v>
          </cell>
          <cell r="J796" t="str">
            <v>Mindray</v>
          </cell>
          <cell r="K796" t="str">
            <v>UMEC12</v>
          </cell>
          <cell r="L796" t="str">
            <v>KQ-04036895</v>
          </cell>
          <cell r="M796">
            <v>2020</v>
          </cell>
          <cell r="N796">
            <v>5</v>
          </cell>
          <cell r="R796" t="str">
            <v>Semestral</v>
          </cell>
        </row>
        <row r="797">
          <cell r="C797">
            <v>444</v>
          </cell>
          <cell r="D797" t="str">
            <v>2-120804</v>
          </cell>
          <cell r="E797" t="str">
            <v>Monitor Multiparámetros</v>
          </cell>
          <cell r="F797" t="str">
            <v>Pabellón CMA</v>
          </cell>
          <cell r="G797" t="str">
            <v>Pabellón CMA</v>
          </cell>
          <cell r="I797" t="str">
            <v>Adquirido</v>
          </cell>
          <cell r="J797" t="str">
            <v>General Electric</v>
          </cell>
          <cell r="K797" t="str">
            <v>B125</v>
          </cell>
          <cell r="L797" t="str">
            <v>SQF20247942WA</v>
          </cell>
          <cell r="M797">
            <v>2020</v>
          </cell>
          <cell r="N797">
            <v>5</v>
          </cell>
          <cell r="O797" t="str">
            <v>Invasivo</v>
          </cell>
          <cell r="R797" t="str">
            <v>Semestral</v>
          </cell>
        </row>
        <row r="798">
          <cell r="C798">
            <v>445</v>
          </cell>
          <cell r="D798" t="str">
            <v>2-120805</v>
          </cell>
          <cell r="E798" t="str">
            <v>Monitor Multiparámetros</v>
          </cell>
          <cell r="F798" t="str">
            <v>Pabellón CMA</v>
          </cell>
          <cell r="G798" t="str">
            <v>Pabellón CMA</v>
          </cell>
          <cell r="I798" t="str">
            <v>Adquirido</v>
          </cell>
          <cell r="J798" t="str">
            <v>General Electric</v>
          </cell>
          <cell r="K798" t="str">
            <v>B125</v>
          </cell>
          <cell r="L798" t="str">
            <v>SQF20247940WA</v>
          </cell>
          <cell r="M798">
            <v>2020</v>
          </cell>
          <cell r="N798">
            <v>5</v>
          </cell>
          <cell r="O798" t="str">
            <v>Invasivo</v>
          </cell>
          <cell r="R798" t="str">
            <v>Semestral</v>
          </cell>
        </row>
        <row r="799">
          <cell r="C799">
            <v>446</v>
          </cell>
          <cell r="D799" t="str">
            <v>2-120827</v>
          </cell>
          <cell r="E799" t="str">
            <v>Monitor Multiparámetros</v>
          </cell>
          <cell r="F799" t="str">
            <v>UPC 3er Piso</v>
          </cell>
          <cell r="G799" t="str">
            <v>UCI 3er Piso</v>
          </cell>
          <cell r="H799" t="str">
            <v>UCI 8</v>
          </cell>
          <cell r="I799" t="str">
            <v>Adquirido</v>
          </cell>
          <cell r="J799" t="str">
            <v>Drager</v>
          </cell>
          <cell r="K799" t="str">
            <v>Infinity Kappa</v>
          </cell>
          <cell r="L799">
            <v>5495845056</v>
          </cell>
          <cell r="M799">
            <v>2020</v>
          </cell>
          <cell r="N799">
            <v>5</v>
          </cell>
          <cell r="O799" t="str">
            <v>Invasivo</v>
          </cell>
          <cell r="R799" t="str">
            <v>Semestral</v>
          </cell>
        </row>
        <row r="800">
          <cell r="C800">
            <v>447</v>
          </cell>
          <cell r="D800" t="str">
            <v>2-120925</v>
          </cell>
          <cell r="E800" t="str">
            <v>Monitor Multiparámetros</v>
          </cell>
          <cell r="F800" t="str">
            <v>Urgencia Adulto</v>
          </cell>
          <cell r="G800" t="str">
            <v>Urgencia Adulto</v>
          </cell>
          <cell r="H800" t="str">
            <v>Observación 4</v>
          </cell>
          <cell r="I800" t="str">
            <v>Adquirido</v>
          </cell>
          <cell r="J800" t="str">
            <v>Drager</v>
          </cell>
          <cell r="K800" t="str">
            <v>Vista 120</v>
          </cell>
          <cell r="L800" t="str">
            <v>VGSNE3867</v>
          </cell>
          <cell r="M800">
            <v>2020</v>
          </cell>
          <cell r="N800">
            <v>5</v>
          </cell>
          <cell r="O800" t="str">
            <v>Invasivo</v>
          </cell>
          <cell r="R800" t="str">
            <v>Semestral</v>
          </cell>
        </row>
        <row r="801">
          <cell r="C801">
            <v>448</v>
          </cell>
          <cell r="D801" t="str">
            <v>2-120924</v>
          </cell>
          <cell r="E801" t="str">
            <v>Monitor Multiparámetros</v>
          </cell>
          <cell r="F801" t="str">
            <v>Urgencia Adulto</v>
          </cell>
          <cell r="G801" t="str">
            <v>Urgencia Adulto</v>
          </cell>
          <cell r="H801" t="str">
            <v>Observación 6</v>
          </cell>
          <cell r="I801" t="str">
            <v>Adquirido</v>
          </cell>
          <cell r="J801" t="str">
            <v>Drager</v>
          </cell>
          <cell r="K801" t="str">
            <v>Vista 120</v>
          </cell>
          <cell r="L801" t="str">
            <v>VGSNE3877</v>
          </cell>
          <cell r="M801">
            <v>2020</v>
          </cell>
          <cell r="N801">
            <v>5</v>
          </cell>
          <cell r="O801" t="str">
            <v>Invasivo</v>
          </cell>
          <cell r="R801" t="str">
            <v>Semestral</v>
          </cell>
        </row>
        <row r="802">
          <cell r="C802">
            <v>449</v>
          </cell>
          <cell r="D802" t="str">
            <v>2-120923</v>
          </cell>
          <cell r="E802" t="str">
            <v>Monitor Multiparámetros</v>
          </cell>
          <cell r="F802" t="str">
            <v>Urgencia Adulto</v>
          </cell>
          <cell r="G802" t="str">
            <v>Urgencia Adulto</v>
          </cell>
          <cell r="H802" t="str">
            <v>Observación 5</v>
          </cell>
          <cell r="I802" t="str">
            <v>Adquirido</v>
          </cell>
          <cell r="J802" t="str">
            <v>Drager</v>
          </cell>
          <cell r="K802" t="str">
            <v>Vista 120</v>
          </cell>
          <cell r="L802" t="str">
            <v>VGSNE3864</v>
          </cell>
          <cell r="M802">
            <v>2020</v>
          </cell>
          <cell r="N802">
            <v>5</v>
          </cell>
          <cell r="O802" t="str">
            <v>Invasivo</v>
          </cell>
          <cell r="R802" t="str">
            <v>Semestral</v>
          </cell>
        </row>
        <row r="803">
          <cell r="C803">
            <v>450</v>
          </cell>
          <cell r="D803" t="str">
            <v>2-120922</v>
          </cell>
          <cell r="E803" t="str">
            <v>Monitor Multiparámetros</v>
          </cell>
          <cell r="F803" t="str">
            <v>Urgencia Adulto</v>
          </cell>
          <cell r="G803" t="str">
            <v>Urgencia Adulto</v>
          </cell>
          <cell r="H803" t="str">
            <v>Box 4 SAR</v>
          </cell>
          <cell r="I803" t="str">
            <v>Adquirido</v>
          </cell>
          <cell r="J803" t="str">
            <v>Drager</v>
          </cell>
          <cell r="K803" t="str">
            <v>Vista 120</v>
          </cell>
          <cell r="L803" t="str">
            <v>VGSNE3830</v>
          </cell>
          <cell r="M803">
            <v>2020</v>
          </cell>
          <cell r="N803">
            <v>5</v>
          </cell>
          <cell r="O803" t="str">
            <v>Invasivo</v>
          </cell>
          <cell r="R803" t="str">
            <v>Semestral</v>
          </cell>
        </row>
        <row r="804">
          <cell r="C804">
            <v>451</v>
          </cell>
          <cell r="D804" t="str">
            <v>2-120949</v>
          </cell>
          <cell r="E804" t="str">
            <v>Monitor Multiparámetros</v>
          </cell>
          <cell r="F804" t="str">
            <v>Ginecología</v>
          </cell>
          <cell r="G804" t="str">
            <v>Ginecología</v>
          </cell>
          <cell r="I804" t="str">
            <v>Adquirido</v>
          </cell>
          <cell r="J804" t="str">
            <v>Mindray</v>
          </cell>
          <cell r="K804" t="str">
            <v>UMEC12</v>
          </cell>
          <cell r="L804" t="str">
            <v>KQ-04036808</v>
          </cell>
          <cell r="M804">
            <v>2020</v>
          </cell>
          <cell r="N804">
            <v>5</v>
          </cell>
          <cell r="R804" t="str">
            <v>Semestral</v>
          </cell>
        </row>
        <row r="805">
          <cell r="C805">
            <v>452</v>
          </cell>
          <cell r="D805" t="str">
            <v>2-120996</v>
          </cell>
          <cell r="E805" t="str">
            <v>Monitor Multiparámetros</v>
          </cell>
          <cell r="F805" t="str">
            <v>Urgencia Adulto</v>
          </cell>
          <cell r="G805" t="str">
            <v>Urgencia Adulto</v>
          </cell>
          <cell r="H805" t="str">
            <v>Box B-5</v>
          </cell>
          <cell r="I805" t="str">
            <v>Adquirido</v>
          </cell>
          <cell r="J805" t="str">
            <v xml:space="preserve">Nihon Kohden </v>
          </cell>
          <cell r="K805" t="str">
            <v>PVM-4763</v>
          </cell>
          <cell r="L805">
            <v>3319</v>
          </cell>
          <cell r="M805">
            <v>2020</v>
          </cell>
          <cell r="N805">
            <v>5</v>
          </cell>
          <cell r="O805" t="str">
            <v>No Invasivo</v>
          </cell>
          <cell r="R805" t="str">
            <v>Semestral</v>
          </cell>
        </row>
        <row r="806">
          <cell r="C806">
            <v>453</v>
          </cell>
          <cell r="D806" t="str">
            <v>2-120994</v>
          </cell>
          <cell r="E806" t="str">
            <v>Monitor Multiparámetros</v>
          </cell>
          <cell r="F806" t="str">
            <v>Urgencia Adulto</v>
          </cell>
          <cell r="G806" t="str">
            <v>Urgencia Adulto</v>
          </cell>
          <cell r="H806" t="str">
            <v>Cirug√≠a box 1</v>
          </cell>
          <cell r="I806" t="str">
            <v>Adquirido</v>
          </cell>
          <cell r="J806" t="str">
            <v xml:space="preserve">Nihon Kohden </v>
          </cell>
          <cell r="K806" t="str">
            <v>PVM-4763</v>
          </cell>
          <cell r="L806">
            <v>3326</v>
          </cell>
          <cell r="M806">
            <v>2020</v>
          </cell>
          <cell r="N806">
            <v>5</v>
          </cell>
          <cell r="O806" t="str">
            <v>No Invasivo</v>
          </cell>
          <cell r="R806" t="str">
            <v>Semestral</v>
          </cell>
        </row>
        <row r="807">
          <cell r="C807">
            <v>454</v>
          </cell>
          <cell r="D807" t="str">
            <v>2-120995</v>
          </cell>
          <cell r="E807" t="str">
            <v>Monitor Multiparámetros</v>
          </cell>
          <cell r="F807" t="str">
            <v>Urgencia Adulto</v>
          </cell>
          <cell r="G807" t="str">
            <v>Urgencia Adulto</v>
          </cell>
          <cell r="H807" t="str">
            <v>TMT</v>
          </cell>
          <cell r="I807" t="str">
            <v>Adquirido</v>
          </cell>
          <cell r="J807" t="str">
            <v xml:space="preserve">Nihon Kohden </v>
          </cell>
          <cell r="K807" t="str">
            <v>PVM-4763</v>
          </cell>
          <cell r="L807">
            <v>3318</v>
          </cell>
          <cell r="M807">
            <v>2020</v>
          </cell>
          <cell r="N807">
            <v>5</v>
          </cell>
          <cell r="O807" t="str">
            <v>No Invasivo</v>
          </cell>
          <cell r="R807" t="str">
            <v>Semestral</v>
          </cell>
        </row>
        <row r="808">
          <cell r="C808">
            <v>455</v>
          </cell>
          <cell r="D808" t="str">
            <v>2-121004</v>
          </cell>
          <cell r="E808" t="str">
            <v>Monitor Multiparámetros</v>
          </cell>
          <cell r="F808" t="str">
            <v>Servicio Social</v>
          </cell>
          <cell r="G808" t="str">
            <v>Servicio Social</v>
          </cell>
          <cell r="H808" t="str">
            <v>Domicilio</v>
          </cell>
          <cell r="I808" t="str">
            <v>Adquirido</v>
          </cell>
          <cell r="J808" t="str">
            <v>Creative Medical</v>
          </cell>
          <cell r="K808" t="str">
            <v>UP-7000</v>
          </cell>
          <cell r="L808" t="str">
            <v>J3300QF04734</v>
          </cell>
          <cell r="M808">
            <v>2021</v>
          </cell>
          <cell r="N808">
            <v>6</v>
          </cell>
          <cell r="O808" t="str">
            <v>No Invasivo</v>
          </cell>
          <cell r="R808" t="str">
            <v>Semestral</v>
          </cell>
        </row>
        <row r="809">
          <cell r="C809">
            <v>456</v>
          </cell>
          <cell r="D809" t="str">
            <v>2-121002</v>
          </cell>
          <cell r="E809" t="str">
            <v>Monitor Multiparámetros</v>
          </cell>
          <cell r="F809" t="str">
            <v>Servicio Social</v>
          </cell>
          <cell r="G809" t="str">
            <v>Servicio Social</v>
          </cell>
          <cell r="H809" t="str">
            <v>Domicilio</v>
          </cell>
          <cell r="I809" t="str">
            <v>Adquirido</v>
          </cell>
          <cell r="J809" t="str">
            <v>Sinohero</v>
          </cell>
          <cell r="K809" t="str">
            <v>H5</v>
          </cell>
          <cell r="L809" t="str">
            <v>PSHH501479</v>
          </cell>
          <cell r="M809">
            <v>2021</v>
          </cell>
          <cell r="N809">
            <v>6</v>
          </cell>
          <cell r="O809" t="str">
            <v>No Invasivo</v>
          </cell>
          <cell r="R809" t="str">
            <v>Semestral</v>
          </cell>
        </row>
        <row r="810">
          <cell r="C810">
            <v>457</v>
          </cell>
          <cell r="D810" t="str">
            <v>2-121003</v>
          </cell>
          <cell r="E810" t="str">
            <v>Monitor Multiparámetros</v>
          </cell>
          <cell r="F810" t="str">
            <v>Servicio Social</v>
          </cell>
          <cell r="G810" t="str">
            <v>Servicio Social</v>
          </cell>
          <cell r="H810" t="str">
            <v>Oficina Supervisora</v>
          </cell>
          <cell r="I810" t="str">
            <v>Adquirido</v>
          </cell>
          <cell r="J810" t="str">
            <v>Creative Medical</v>
          </cell>
          <cell r="K810" t="str">
            <v>UP-7000</v>
          </cell>
          <cell r="L810" t="str">
            <v>J3300QF04724</v>
          </cell>
          <cell r="M810">
            <v>2021</v>
          </cell>
          <cell r="N810">
            <v>6</v>
          </cell>
          <cell r="O810" t="str">
            <v>No Invasivo</v>
          </cell>
          <cell r="R810" t="str">
            <v>Semestral</v>
          </cell>
        </row>
        <row r="811">
          <cell r="C811">
            <v>458</v>
          </cell>
          <cell r="D811" t="str">
            <v>2-121190</v>
          </cell>
          <cell r="E811" t="str">
            <v>Monitor Multiparámetros</v>
          </cell>
          <cell r="F811" t="str">
            <v>Medicina</v>
          </cell>
          <cell r="G811" t="str">
            <v>Medicina interna - 5to piso</v>
          </cell>
          <cell r="H811" t="str">
            <v>512-1</v>
          </cell>
          <cell r="I811" t="str">
            <v>Préstamo MINSAL</v>
          </cell>
          <cell r="J811" t="str">
            <v xml:space="preserve">Nihon Kohden </v>
          </cell>
          <cell r="K811" t="str">
            <v>BSM-3562K</v>
          </cell>
          <cell r="L811">
            <v>29791</v>
          </cell>
          <cell r="M811">
            <v>2021</v>
          </cell>
          <cell r="N811">
            <v>6</v>
          </cell>
          <cell r="O811" t="str">
            <v>Invasivo</v>
          </cell>
          <cell r="R811" t="str">
            <v>Semestral</v>
          </cell>
        </row>
        <row r="812">
          <cell r="C812">
            <v>459</v>
          </cell>
          <cell r="D812" t="str">
            <v>2-121191</v>
          </cell>
          <cell r="E812" t="str">
            <v>Monitor Multiparámetros</v>
          </cell>
          <cell r="F812" t="str">
            <v>Medicina</v>
          </cell>
          <cell r="G812" t="str">
            <v>Medicina interna - 5to piso</v>
          </cell>
          <cell r="H812" t="str">
            <v>599-4</v>
          </cell>
          <cell r="I812" t="str">
            <v>Préstamo MINSAL</v>
          </cell>
          <cell r="J812" t="str">
            <v xml:space="preserve">Nihon Kohden </v>
          </cell>
          <cell r="K812" t="str">
            <v>BSM-3562K</v>
          </cell>
          <cell r="L812">
            <v>29792</v>
          </cell>
          <cell r="M812">
            <v>2021</v>
          </cell>
          <cell r="N812">
            <v>6</v>
          </cell>
          <cell r="O812" t="str">
            <v>Invasivo</v>
          </cell>
          <cell r="R812" t="str">
            <v>Semestral</v>
          </cell>
        </row>
        <row r="813">
          <cell r="C813">
            <v>460</v>
          </cell>
          <cell r="D813" t="str">
            <v>2-121192</v>
          </cell>
          <cell r="E813" t="str">
            <v>Monitor Multiparámetros</v>
          </cell>
          <cell r="F813" t="str">
            <v>Medicina</v>
          </cell>
          <cell r="G813" t="str">
            <v>Medicina interna - 5to piso</v>
          </cell>
          <cell r="H813" t="str">
            <v>599-3</v>
          </cell>
          <cell r="I813" t="str">
            <v>Préstamo MINSAL</v>
          </cell>
          <cell r="J813" t="str">
            <v xml:space="preserve">Nihon Kohden </v>
          </cell>
          <cell r="K813" t="str">
            <v>BSM-3562K</v>
          </cell>
          <cell r="L813">
            <v>29805</v>
          </cell>
          <cell r="M813">
            <v>2021</v>
          </cell>
          <cell r="N813">
            <v>6</v>
          </cell>
          <cell r="O813" t="str">
            <v>Invasivo</v>
          </cell>
          <cell r="R813" t="str">
            <v>Semestral</v>
          </cell>
        </row>
        <row r="814">
          <cell r="C814">
            <v>461</v>
          </cell>
          <cell r="D814" t="str">
            <v>2-121193</v>
          </cell>
          <cell r="E814" t="str">
            <v>Monitor Multiparámetros</v>
          </cell>
          <cell r="F814" t="str">
            <v>Medicina</v>
          </cell>
          <cell r="G814" t="str">
            <v>Medicina interna - 5to piso</v>
          </cell>
          <cell r="H814" t="str">
            <v>512-2</v>
          </cell>
          <cell r="I814" t="str">
            <v>Préstamo MINSAL</v>
          </cell>
          <cell r="J814" t="str">
            <v xml:space="preserve">Nihon Kohden </v>
          </cell>
          <cell r="K814" t="str">
            <v>BSM-3562K</v>
          </cell>
          <cell r="L814">
            <v>29811</v>
          </cell>
          <cell r="M814">
            <v>2021</v>
          </cell>
          <cell r="N814">
            <v>6</v>
          </cell>
          <cell r="O814" t="str">
            <v>Invasivo</v>
          </cell>
          <cell r="R814" t="str">
            <v>Semestral</v>
          </cell>
        </row>
        <row r="815">
          <cell r="C815">
            <v>462</v>
          </cell>
          <cell r="D815" t="str">
            <v>2-121194</v>
          </cell>
          <cell r="E815" t="str">
            <v>Monitor Multiparámetros</v>
          </cell>
          <cell r="F815" t="str">
            <v>Medicina</v>
          </cell>
          <cell r="G815" t="str">
            <v>Medicina interna - 5to piso</v>
          </cell>
          <cell r="H815" t="str">
            <v>501-3</v>
          </cell>
          <cell r="I815" t="str">
            <v>Préstamo MINSAL</v>
          </cell>
          <cell r="J815" t="str">
            <v xml:space="preserve">Nihon Kohden </v>
          </cell>
          <cell r="K815" t="str">
            <v>BSM-3562K</v>
          </cell>
          <cell r="L815">
            <v>29814</v>
          </cell>
          <cell r="M815">
            <v>2021</v>
          </cell>
          <cell r="N815">
            <v>6</v>
          </cell>
          <cell r="O815" t="str">
            <v>Invasivo</v>
          </cell>
          <cell r="Q815" t="str">
            <v>26-08-2025 se repone cable de poder</v>
          </cell>
          <cell r="R815" t="str">
            <v>Semestral</v>
          </cell>
        </row>
        <row r="816">
          <cell r="C816">
            <v>463</v>
          </cell>
          <cell r="D816" t="str">
            <v>2-121195</v>
          </cell>
          <cell r="E816" t="str">
            <v>Monitor Multiparámetros</v>
          </cell>
          <cell r="F816" t="str">
            <v>Medicina</v>
          </cell>
          <cell r="G816" t="str">
            <v>Medicina interna - 5to piso</v>
          </cell>
          <cell r="H816" t="str">
            <v>Sala de equipos EPA</v>
          </cell>
          <cell r="I816" t="str">
            <v>Préstamo MINSAL</v>
          </cell>
          <cell r="J816" t="str">
            <v xml:space="preserve">Nihon Kohden </v>
          </cell>
          <cell r="K816" t="str">
            <v>BSM-3562K</v>
          </cell>
          <cell r="L816">
            <v>29815</v>
          </cell>
          <cell r="M816">
            <v>2021</v>
          </cell>
          <cell r="N816">
            <v>6</v>
          </cell>
          <cell r="O816" t="str">
            <v>Invasivo</v>
          </cell>
          <cell r="R816" t="str">
            <v>Semestral</v>
          </cell>
        </row>
        <row r="817">
          <cell r="C817">
            <v>464</v>
          </cell>
          <cell r="D817" t="str">
            <v>2-121196</v>
          </cell>
          <cell r="E817" t="str">
            <v>Monitor Multiparámetros</v>
          </cell>
          <cell r="F817" t="str">
            <v>Medicina</v>
          </cell>
          <cell r="G817" t="str">
            <v>Medicina interna - 5to piso</v>
          </cell>
          <cell r="H817" t="str">
            <v>597-1</v>
          </cell>
          <cell r="I817" t="str">
            <v>Préstamo MINSAL</v>
          </cell>
          <cell r="J817" t="str">
            <v xml:space="preserve">Nihon Kohden </v>
          </cell>
          <cell r="K817" t="str">
            <v>BSM-3562K</v>
          </cell>
          <cell r="L817">
            <v>29816</v>
          </cell>
          <cell r="M817">
            <v>2021</v>
          </cell>
          <cell r="N817">
            <v>6</v>
          </cell>
          <cell r="O817" t="str">
            <v>Invasivo</v>
          </cell>
          <cell r="R817" t="str">
            <v>Semestral</v>
          </cell>
        </row>
        <row r="818">
          <cell r="C818">
            <v>465</v>
          </cell>
          <cell r="D818" t="str">
            <v>2-121197</v>
          </cell>
          <cell r="E818" t="str">
            <v>Monitor Multiparámetros</v>
          </cell>
          <cell r="F818" t="str">
            <v>Medicina</v>
          </cell>
          <cell r="G818" t="str">
            <v>Medicina interna - 5to piso</v>
          </cell>
          <cell r="H818" t="str">
            <v>Sala de estar TNB</v>
          </cell>
          <cell r="I818" t="str">
            <v>Préstamo MINSAL</v>
          </cell>
          <cell r="J818" t="str">
            <v xml:space="preserve">Nihon Kohden </v>
          </cell>
          <cell r="K818" t="str">
            <v>BSM-3562K</v>
          </cell>
          <cell r="L818">
            <v>29817</v>
          </cell>
          <cell r="M818">
            <v>2021</v>
          </cell>
          <cell r="N818">
            <v>6</v>
          </cell>
          <cell r="O818" t="str">
            <v>Invasivo</v>
          </cell>
          <cell r="R818" t="str">
            <v>Semestral</v>
          </cell>
        </row>
        <row r="819">
          <cell r="C819">
            <v>466</v>
          </cell>
          <cell r="D819" t="str">
            <v>2-121198</v>
          </cell>
          <cell r="E819" t="str">
            <v>Monitor Multiparámetros</v>
          </cell>
          <cell r="F819" t="str">
            <v>Medicina</v>
          </cell>
          <cell r="G819" t="str">
            <v>Medicina interna - 5to piso</v>
          </cell>
          <cell r="H819" t="str">
            <v>Sala de estar TNB</v>
          </cell>
          <cell r="I819" t="str">
            <v>Préstamo MINSAL</v>
          </cell>
          <cell r="J819" t="str">
            <v xml:space="preserve">Nihon Kohden </v>
          </cell>
          <cell r="K819" t="str">
            <v>BSM-3562K</v>
          </cell>
          <cell r="L819">
            <v>29800</v>
          </cell>
          <cell r="M819">
            <v>2021</v>
          </cell>
          <cell r="N819">
            <v>6</v>
          </cell>
          <cell r="O819" t="str">
            <v>Invasivo</v>
          </cell>
          <cell r="Q819" t="str">
            <v>Se repone cable de poder</v>
          </cell>
          <cell r="R819" t="str">
            <v>Semestral</v>
          </cell>
        </row>
        <row r="820">
          <cell r="C820">
            <v>467</v>
          </cell>
          <cell r="D820" t="str">
            <v>2-121232</v>
          </cell>
          <cell r="E820" t="str">
            <v>Monitor Multiparámetros</v>
          </cell>
          <cell r="F820" t="str">
            <v>Medicina</v>
          </cell>
          <cell r="G820" t="str">
            <v>Medicina interna - 5to piso</v>
          </cell>
          <cell r="I820" t="str">
            <v>Préstamo MINSAL</v>
          </cell>
          <cell r="J820" t="str">
            <v>EDAN</v>
          </cell>
          <cell r="K820" t="str">
            <v>X12</v>
          </cell>
          <cell r="L820" t="str">
            <v>261594-M21407240019</v>
          </cell>
          <cell r="M820">
            <v>2021</v>
          </cell>
          <cell r="N820">
            <v>6</v>
          </cell>
          <cell r="O820" t="str">
            <v>Invasivo</v>
          </cell>
          <cell r="R820" t="str">
            <v>Semestral</v>
          </cell>
        </row>
        <row r="821">
          <cell r="C821">
            <v>468</v>
          </cell>
          <cell r="D821" t="str">
            <v>2-121233</v>
          </cell>
          <cell r="E821" t="str">
            <v>Monitor Multiparámetros</v>
          </cell>
          <cell r="F821" t="str">
            <v>Medicina</v>
          </cell>
          <cell r="G821" t="str">
            <v>Medicina interna - 5to piso</v>
          </cell>
          <cell r="I821" t="str">
            <v>Préstamo MINSAL</v>
          </cell>
          <cell r="J821" t="str">
            <v>EDAN</v>
          </cell>
          <cell r="K821" t="str">
            <v>X12</v>
          </cell>
          <cell r="L821" t="str">
            <v>261594-M21407240011</v>
          </cell>
          <cell r="M821">
            <v>2021</v>
          </cell>
          <cell r="N821">
            <v>6</v>
          </cell>
          <cell r="O821" t="str">
            <v>Invasivo</v>
          </cell>
          <cell r="Q821" t="str">
            <v>Cambio tarjeta parameter 07-10-24</v>
          </cell>
          <cell r="R821" t="str">
            <v>Semestral</v>
          </cell>
        </row>
        <row r="822">
          <cell r="C822">
            <v>469</v>
          </cell>
          <cell r="D822" t="str">
            <v>2-121234</v>
          </cell>
          <cell r="E822" t="str">
            <v>Monitor Multiparámetros</v>
          </cell>
          <cell r="F822" t="str">
            <v>Medicina</v>
          </cell>
          <cell r="G822" t="str">
            <v>Medicina interna - 5to piso</v>
          </cell>
          <cell r="H822" t="str">
            <v>596-1</v>
          </cell>
          <cell r="I822" t="str">
            <v>Préstamo MINSAL</v>
          </cell>
          <cell r="J822" t="str">
            <v>EDAN</v>
          </cell>
          <cell r="K822" t="str">
            <v>X12</v>
          </cell>
          <cell r="L822" t="str">
            <v>261594-M21406070014</v>
          </cell>
          <cell r="M822">
            <v>2021</v>
          </cell>
          <cell r="N822">
            <v>6</v>
          </cell>
          <cell r="O822" t="str">
            <v>Invasivo</v>
          </cell>
          <cell r="R822" t="str">
            <v>Semestral</v>
          </cell>
        </row>
        <row r="823">
          <cell r="C823">
            <v>470</v>
          </cell>
          <cell r="D823" t="str">
            <v>2-121235</v>
          </cell>
          <cell r="E823" t="str">
            <v>Monitor Multiparámetros</v>
          </cell>
          <cell r="F823" t="str">
            <v>Medicina</v>
          </cell>
          <cell r="G823" t="str">
            <v>Medicina interna - 5to piso</v>
          </cell>
          <cell r="I823" t="str">
            <v>Préstamo MINSAL</v>
          </cell>
          <cell r="J823" t="str">
            <v>EDAN</v>
          </cell>
          <cell r="K823" t="str">
            <v>X12</v>
          </cell>
          <cell r="L823" t="str">
            <v>261594-M21407000058</v>
          </cell>
          <cell r="M823">
            <v>2021</v>
          </cell>
          <cell r="N823">
            <v>6</v>
          </cell>
          <cell r="O823" t="str">
            <v>Invasivo</v>
          </cell>
          <cell r="Q823" t="str">
            <v>Equipo llega reparado 19-11-24. cambio de tajeta parameter y bateria.</v>
          </cell>
          <cell r="R823" t="str">
            <v>Semestral</v>
          </cell>
        </row>
        <row r="824">
          <cell r="C824">
            <v>471</v>
          </cell>
          <cell r="D824" t="str">
            <v>2-121236</v>
          </cell>
          <cell r="E824" t="str">
            <v>Monitor Multiparámetros</v>
          </cell>
          <cell r="F824" t="str">
            <v>Medicina</v>
          </cell>
          <cell r="G824" t="str">
            <v>Medicina interna - 5to piso</v>
          </cell>
          <cell r="H824" t="str">
            <v>596-3</v>
          </cell>
          <cell r="I824" t="str">
            <v>Préstamo MINSAL</v>
          </cell>
          <cell r="J824" t="str">
            <v>EDAN</v>
          </cell>
          <cell r="K824" t="str">
            <v>X12</v>
          </cell>
          <cell r="L824" t="str">
            <v>261594-M21407240059</v>
          </cell>
          <cell r="M824">
            <v>2021</v>
          </cell>
          <cell r="N824">
            <v>6</v>
          </cell>
          <cell r="O824" t="str">
            <v>Invasivo</v>
          </cell>
          <cell r="Q824" t="str">
            <v>Equipo es recibido desde serv. Tecnico en condiciones para su uso</v>
          </cell>
          <cell r="R824" t="str">
            <v>Semestral</v>
          </cell>
        </row>
        <row r="825">
          <cell r="C825">
            <v>472</v>
          </cell>
          <cell r="D825" t="str">
            <v>2-121237</v>
          </cell>
          <cell r="E825" t="str">
            <v>Monitor Multiparámetros</v>
          </cell>
          <cell r="F825" t="str">
            <v>Medicina</v>
          </cell>
          <cell r="G825" t="str">
            <v>Medicina interna - 5to piso</v>
          </cell>
          <cell r="H825" t="str">
            <v>509-2</v>
          </cell>
          <cell r="I825" t="str">
            <v>Préstamo MINSAL</v>
          </cell>
          <cell r="J825" t="str">
            <v>EDAN</v>
          </cell>
          <cell r="K825" t="str">
            <v>X12</v>
          </cell>
          <cell r="L825" t="str">
            <v>261594-M21407240073</v>
          </cell>
          <cell r="M825">
            <v>2021</v>
          </cell>
          <cell r="N825">
            <v>6</v>
          </cell>
          <cell r="O825" t="str">
            <v>Invasivo</v>
          </cell>
          <cell r="R825" t="str">
            <v>Semestral</v>
          </cell>
        </row>
        <row r="826">
          <cell r="C826">
            <v>473</v>
          </cell>
          <cell r="D826" t="str">
            <v>2-121238</v>
          </cell>
          <cell r="E826" t="str">
            <v>Monitor Multiparámetros</v>
          </cell>
          <cell r="F826" t="str">
            <v>Medicina</v>
          </cell>
          <cell r="G826" t="str">
            <v>Medicina interna - 5to piso</v>
          </cell>
          <cell r="I826" t="str">
            <v>Préstamo MINSAL</v>
          </cell>
          <cell r="J826" t="str">
            <v>EDAN</v>
          </cell>
          <cell r="K826" t="str">
            <v>X12</v>
          </cell>
          <cell r="L826" t="str">
            <v>261594-M21407240071</v>
          </cell>
          <cell r="M826">
            <v>2021</v>
          </cell>
          <cell r="N826">
            <v>6</v>
          </cell>
          <cell r="O826" t="str">
            <v>Invasivo</v>
          </cell>
          <cell r="Q826" t="str">
            <v>Se reemplaza la bater√≠a 26-09-24</v>
          </cell>
          <cell r="R826" t="str">
            <v>Semestral</v>
          </cell>
        </row>
        <row r="827">
          <cell r="C827">
            <v>474</v>
          </cell>
          <cell r="D827" t="str">
            <v>2-121239</v>
          </cell>
          <cell r="E827" t="str">
            <v>Monitor Multiparámetros</v>
          </cell>
          <cell r="F827" t="str">
            <v>Medicina (Prestado a medicina cardiovascular)</v>
          </cell>
          <cell r="G827" t="str">
            <v>Medicina cardiovascular</v>
          </cell>
          <cell r="I827" t="str">
            <v>Préstamo MINSAL</v>
          </cell>
          <cell r="J827" t="str">
            <v>EDAN</v>
          </cell>
          <cell r="K827" t="str">
            <v>X12</v>
          </cell>
          <cell r="L827" t="str">
            <v>261594-M21407240024</v>
          </cell>
          <cell r="M827">
            <v>2021</v>
          </cell>
          <cell r="N827">
            <v>6</v>
          </cell>
          <cell r="O827" t="str">
            <v>Invasivo</v>
          </cell>
          <cell r="Q827" t="str">
            <v>trazabilidad</v>
          </cell>
          <cell r="R827" t="str">
            <v>Semestral</v>
          </cell>
        </row>
        <row r="828">
          <cell r="C828">
            <v>475</v>
          </cell>
          <cell r="D828" t="str">
            <v>2-121240</v>
          </cell>
          <cell r="E828" t="str">
            <v>Monitor Multiparámetros</v>
          </cell>
          <cell r="F828" t="str">
            <v>Medicina</v>
          </cell>
          <cell r="G828" t="str">
            <v>Medicina interna - 5to piso</v>
          </cell>
          <cell r="I828" t="str">
            <v>Préstamo MINSAL</v>
          </cell>
          <cell r="J828" t="str">
            <v>EDAN</v>
          </cell>
          <cell r="K828" t="str">
            <v>X12</v>
          </cell>
          <cell r="L828" t="str">
            <v>261594-M21407000083</v>
          </cell>
          <cell r="M828">
            <v>2021</v>
          </cell>
          <cell r="N828">
            <v>6</v>
          </cell>
          <cell r="O828" t="str">
            <v>Invasivo</v>
          </cell>
          <cell r="Q828" t="str">
            <v>Equipos es reparado y se encuentra operativo 20.11.2025</v>
          </cell>
          <cell r="R828" t="str">
            <v>Semestral</v>
          </cell>
        </row>
        <row r="829">
          <cell r="C829">
            <v>476</v>
          </cell>
          <cell r="D829" t="str">
            <v>2-121241</v>
          </cell>
          <cell r="E829" t="str">
            <v>Monitor Multiparámetros</v>
          </cell>
          <cell r="F829" t="str">
            <v>Medicina</v>
          </cell>
          <cell r="G829" t="str">
            <v>Medicina interna - 5to piso</v>
          </cell>
          <cell r="I829" t="str">
            <v>Préstamo MINSAL</v>
          </cell>
          <cell r="J829" t="str">
            <v>EDAN</v>
          </cell>
          <cell r="K829" t="str">
            <v>X12</v>
          </cell>
          <cell r="L829" t="str">
            <v>261594-M21406070011</v>
          </cell>
          <cell r="M829">
            <v>2021</v>
          </cell>
          <cell r="N829">
            <v>6</v>
          </cell>
          <cell r="O829" t="str">
            <v>Invasivo</v>
          </cell>
          <cell r="R829" t="str">
            <v>Semestral</v>
          </cell>
        </row>
        <row r="830">
          <cell r="C830">
            <v>477</v>
          </cell>
          <cell r="D830" t="str">
            <v>2-121304</v>
          </cell>
          <cell r="E830" t="str">
            <v>Monitor Multiparámetros</v>
          </cell>
          <cell r="F830" t="str">
            <v>Medicina</v>
          </cell>
          <cell r="G830" t="str">
            <v>Medicina interna - 5to piso</v>
          </cell>
          <cell r="I830" t="str">
            <v>Donación</v>
          </cell>
          <cell r="J830" t="str">
            <v>Bistos</v>
          </cell>
          <cell r="K830" t="str">
            <v>BT-770</v>
          </cell>
          <cell r="L830" t="str">
            <v>DGLC0120</v>
          </cell>
          <cell r="M830">
            <v>2021</v>
          </cell>
          <cell r="N830">
            <v>6</v>
          </cell>
          <cell r="O830" t="str">
            <v>No Invasivo</v>
          </cell>
          <cell r="Q830" t="str">
            <v>06/01/2026 Equipo enviado a ST</v>
          </cell>
          <cell r="R830" t="str">
            <v>Semestral</v>
          </cell>
        </row>
        <row r="831">
          <cell r="C831">
            <v>478</v>
          </cell>
          <cell r="D831" t="str">
            <v>2-121305</v>
          </cell>
          <cell r="E831" t="str">
            <v>Monitor Multiparámetros</v>
          </cell>
          <cell r="F831" t="str">
            <v>Medicina (Prestado a medicina cardiovascular)</v>
          </cell>
          <cell r="G831" t="str">
            <v>Medicina cardiovascular</v>
          </cell>
          <cell r="I831" t="str">
            <v>Donación</v>
          </cell>
          <cell r="J831" t="str">
            <v>Bistos</v>
          </cell>
          <cell r="K831" t="str">
            <v>BT-770</v>
          </cell>
          <cell r="L831" t="str">
            <v>DGLC0121</v>
          </cell>
          <cell r="M831">
            <v>2021</v>
          </cell>
          <cell r="N831">
            <v>6</v>
          </cell>
          <cell r="O831" t="str">
            <v>No Invasivo</v>
          </cell>
          <cell r="Q831" t="str">
            <v>trazabilidad</v>
          </cell>
          <cell r="R831" t="str">
            <v>Semestral</v>
          </cell>
        </row>
        <row r="832">
          <cell r="C832">
            <v>479</v>
          </cell>
          <cell r="D832" t="str">
            <v>2-121306</v>
          </cell>
          <cell r="E832" t="str">
            <v>Monitor Multiparámetros</v>
          </cell>
          <cell r="F832" t="str">
            <v>Medicina (Prestado a medicina cardiovascular)</v>
          </cell>
          <cell r="G832" t="str">
            <v>Medicina cardiovascular</v>
          </cell>
          <cell r="I832" t="str">
            <v>Donación</v>
          </cell>
          <cell r="J832" t="str">
            <v>Bistos</v>
          </cell>
          <cell r="K832" t="str">
            <v>BT-770</v>
          </cell>
          <cell r="L832" t="str">
            <v>DGLC0118</v>
          </cell>
          <cell r="M832">
            <v>2021</v>
          </cell>
          <cell r="N832">
            <v>6</v>
          </cell>
          <cell r="O832" t="str">
            <v>No Invasivo</v>
          </cell>
          <cell r="Q832" t="str">
            <v>trazabilidad</v>
          </cell>
          <cell r="R832" t="str">
            <v>Semestral</v>
          </cell>
        </row>
        <row r="833">
          <cell r="C833">
            <v>480</v>
          </cell>
          <cell r="D833" t="str">
            <v>2-121307</v>
          </cell>
          <cell r="E833" t="str">
            <v>Monitor Multiparámetros</v>
          </cell>
          <cell r="F833" t="str">
            <v>Medicina</v>
          </cell>
          <cell r="G833" t="str">
            <v>Medicina interna - 5to piso</v>
          </cell>
          <cell r="I833" t="str">
            <v>Donación</v>
          </cell>
          <cell r="J833" t="str">
            <v>Bistos</v>
          </cell>
          <cell r="K833" t="str">
            <v>BT-770</v>
          </cell>
          <cell r="L833" t="str">
            <v>DGLC0126</v>
          </cell>
          <cell r="M833">
            <v>2021</v>
          </cell>
          <cell r="N833">
            <v>6</v>
          </cell>
          <cell r="O833" t="str">
            <v>No Invasivo</v>
          </cell>
          <cell r="R833" t="str">
            <v>Semestral</v>
          </cell>
        </row>
        <row r="834">
          <cell r="C834">
            <v>481</v>
          </cell>
          <cell r="D834" t="str">
            <v>2-121308</v>
          </cell>
          <cell r="E834" t="str">
            <v>Monitor Multiparámetros</v>
          </cell>
          <cell r="F834" t="str">
            <v>Medicina (Prestado a Cirugía Infantil )</v>
          </cell>
          <cell r="G834" t="str">
            <v>Cirugía Infantil</v>
          </cell>
          <cell r="I834" t="str">
            <v>Donación</v>
          </cell>
          <cell r="J834" t="str">
            <v>Bistos</v>
          </cell>
          <cell r="K834" t="str">
            <v>BT-770</v>
          </cell>
          <cell r="L834" t="str">
            <v>DGLC0138</v>
          </cell>
          <cell r="M834">
            <v>2021</v>
          </cell>
          <cell r="N834">
            <v>6</v>
          </cell>
          <cell r="O834" t="str">
            <v>No Invasivo</v>
          </cell>
          <cell r="Q834" t="str">
            <v>Traspaso temporal a Pediatr√≠a 18/05/21-</v>
          </cell>
          <cell r="R834" t="str">
            <v>Semestral</v>
          </cell>
        </row>
        <row r="835">
          <cell r="C835">
            <v>482</v>
          </cell>
          <cell r="D835" t="str">
            <v>2-121309</v>
          </cell>
          <cell r="E835" t="str">
            <v>Monitor Multiparámetros</v>
          </cell>
          <cell r="F835" t="str">
            <v>Medicina</v>
          </cell>
          <cell r="G835" t="str">
            <v>Medicina interna - 5to piso</v>
          </cell>
          <cell r="I835" t="str">
            <v>Donación</v>
          </cell>
          <cell r="J835" t="str">
            <v>Bistos</v>
          </cell>
          <cell r="K835" t="str">
            <v>BT-770</v>
          </cell>
          <cell r="L835" t="str">
            <v>DGLC0124</v>
          </cell>
          <cell r="M835">
            <v>2021</v>
          </cell>
          <cell r="N835">
            <v>6</v>
          </cell>
          <cell r="O835" t="str">
            <v>No Invasivo</v>
          </cell>
          <cell r="R835" t="str">
            <v>Semestral</v>
          </cell>
        </row>
        <row r="836">
          <cell r="C836">
            <v>483</v>
          </cell>
          <cell r="D836" t="str">
            <v>2-121310</v>
          </cell>
          <cell r="E836" t="str">
            <v>Monitor Multiparámetros</v>
          </cell>
          <cell r="F836" t="str">
            <v>Medicina</v>
          </cell>
          <cell r="G836" t="str">
            <v>Medicina interna - 5to piso</v>
          </cell>
          <cell r="I836" t="str">
            <v>Donación</v>
          </cell>
          <cell r="J836" t="str">
            <v>Bistos</v>
          </cell>
          <cell r="K836" t="str">
            <v>BT-770</v>
          </cell>
          <cell r="L836" t="str">
            <v>DGLC0137</v>
          </cell>
          <cell r="M836">
            <v>2021</v>
          </cell>
          <cell r="N836">
            <v>6</v>
          </cell>
          <cell r="O836" t="str">
            <v>No Invasivo</v>
          </cell>
          <cell r="R836" t="str">
            <v>Semestral</v>
          </cell>
        </row>
        <row r="837">
          <cell r="C837">
            <v>484</v>
          </cell>
          <cell r="D837" t="str">
            <v>2-121311</v>
          </cell>
          <cell r="E837" t="str">
            <v>Monitor Multiparámetros</v>
          </cell>
          <cell r="F837" t="str">
            <v>Medicina</v>
          </cell>
          <cell r="G837" t="str">
            <v>Medicina interna - 5to piso</v>
          </cell>
          <cell r="I837" t="str">
            <v>Donación</v>
          </cell>
          <cell r="J837" t="str">
            <v>Bistos</v>
          </cell>
          <cell r="K837" t="str">
            <v>BT-770</v>
          </cell>
          <cell r="L837" t="str">
            <v>DGLC0134</v>
          </cell>
          <cell r="M837">
            <v>2021</v>
          </cell>
          <cell r="N837">
            <v>6</v>
          </cell>
          <cell r="O837" t="str">
            <v>No Invasivo</v>
          </cell>
          <cell r="Q837" t="str">
            <v>Reemplazo de la tarjeta NIBP HUMAN  y la bater√≠a</v>
          </cell>
          <cell r="R837" t="str">
            <v>Semestral</v>
          </cell>
        </row>
        <row r="838">
          <cell r="C838">
            <v>485</v>
          </cell>
          <cell r="D838" t="str">
            <v>2-121312</v>
          </cell>
          <cell r="E838" t="str">
            <v>Monitor Multiparámetros</v>
          </cell>
          <cell r="F838" t="str">
            <v>Medicina (Prestado a Pediatría)</v>
          </cell>
          <cell r="G838" t="str">
            <v xml:space="preserve">Pediatría </v>
          </cell>
          <cell r="H838" t="str">
            <v>EP 696</v>
          </cell>
          <cell r="I838" t="str">
            <v>Donación</v>
          </cell>
          <cell r="J838" t="str">
            <v>Bistos</v>
          </cell>
          <cell r="K838" t="str">
            <v>BT-770</v>
          </cell>
          <cell r="L838" t="str">
            <v>DGLC0115</v>
          </cell>
          <cell r="M838">
            <v>2021</v>
          </cell>
          <cell r="N838">
            <v>6</v>
          </cell>
          <cell r="O838" t="str">
            <v>No Invasivo</v>
          </cell>
          <cell r="Q838" t="str">
            <v xml:space="preserve">Traspaso temporal a Pediatr√≠a 18/05/21-trazabilidad. </v>
          </cell>
          <cell r="R838" t="str">
            <v>Semestral</v>
          </cell>
        </row>
        <row r="839">
          <cell r="C839">
            <v>486</v>
          </cell>
          <cell r="D839" t="str">
            <v>2-121313</v>
          </cell>
          <cell r="E839" t="str">
            <v>Monitor Multiparámetros</v>
          </cell>
          <cell r="F839" t="str">
            <v>Pediatría</v>
          </cell>
          <cell r="G839" t="str">
            <v xml:space="preserve">Pediatría </v>
          </cell>
          <cell r="H839" t="str">
            <v>Peditría Segunda Infancia</v>
          </cell>
          <cell r="I839" t="str">
            <v>Donación</v>
          </cell>
          <cell r="J839" t="str">
            <v>Bistos</v>
          </cell>
          <cell r="K839" t="str">
            <v>BT-770</v>
          </cell>
          <cell r="L839" t="str">
            <v>DGLC0136</v>
          </cell>
          <cell r="M839">
            <v>2021</v>
          </cell>
          <cell r="N839">
            <v>6</v>
          </cell>
          <cell r="O839" t="str">
            <v>No Invasivo</v>
          </cell>
          <cell r="R839" t="str">
            <v>Semestral</v>
          </cell>
        </row>
        <row r="840">
          <cell r="C840">
            <v>487</v>
          </cell>
          <cell r="D840" t="str">
            <v>2-121314</v>
          </cell>
          <cell r="E840" t="str">
            <v>Monitor Multiparámetros</v>
          </cell>
          <cell r="F840" t="str">
            <v>Medicina</v>
          </cell>
          <cell r="G840" t="str">
            <v>Medicina interna - 5to piso</v>
          </cell>
          <cell r="I840" t="str">
            <v>Donación</v>
          </cell>
          <cell r="J840" t="str">
            <v>Bistos</v>
          </cell>
          <cell r="K840" t="str">
            <v>BT-770</v>
          </cell>
          <cell r="L840" t="str">
            <v>DGLC0133</v>
          </cell>
          <cell r="M840">
            <v>2021</v>
          </cell>
          <cell r="N840">
            <v>6</v>
          </cell>
          <cell r="O840" t="str">
            <v>No Invasivo</v>
          </cell>
          <cell r="R840" t="str">
            <v>Semestral</v>
          </cell>
        </row>
        <row r="841">
          <cell r="C841">
            <v>488</v>
          </cell>
          <cell r="D841" t="str">
            <v>2-121315</v>
          </cell>
          <cell r="E841" t="str">
            <v>Monitor Multiparámetros</v>
          </cell>
          <cell r="F841" t="str">
            <v>Medicina</v>
          </cell>
          <cell r="G841" t="str">
            <v>Medicina interna - 5to piso</v>
          </cell>
          <cell r="I841" t="str">
            <v>Donación</v>
          </cell>
          <cell r="J841" t="str">
            <v>Bistos</v>
          </cell>
          <cell r="K841" t="str">
            <v>BT-770</v>
          </cell>
          <cell r="L841" t="str">
            <v>DGL70654</v>
          </cell>
          <cell r="M841">
            <v>2021</v>
          </cell>
          <cell r="N841">
            <v>6</v>
          </cell>
          <cell r="O841" t="str">
            <v>No Invasivo</v>
          </cell>
          <cell r="R841" t="str">
            <v>Semestral</v>
          </cell>
        </row>
        <row r="842">
          <cell r="C842">
            <v>489</v>
          </cell>
          <cell r="D842" t="str">
            <v>2-121316</v>
          </cell>
          <cell r="E842" t="str">
            <v>Monitor Multiparámetros</v>
          </cell>
          <cell r="F842" t="str">
            <v>Medicina</v>
          </cell>
          <cell r="G842" t="str">
            <v>Medicina interna - 5to piso</v>
          </cell>
          <cell r="I842" t="str">
            <v>Donación</v>
          </cell>
          <cell r="J842" t="str">
            <v>Bistos</v>
          </cell>
          <cell r="K842" t="str">
            <v>BT-770</v>
          </cell>
          <cell r="L842" t="str">
            <v>DGLC0112</v>
          </cell>
          <cell r="M842">
            <v>2021</v>
          </cell>
          <cell r="N842">
            <v>6</v>
          </cell>
          <cell r="O842" t="str">
            <v>No Invasivo</v>
          </cell>
          <cell r="R842" t="str">
            <v>Semestral</v>
          </cell>
        </row>
        <row r="843">
          <cell r="C843">
            <v>490</v>
          </cell>
          <cell r="D843" t="str">
            <v>2-121317</v>
          </cell>
          <cell r="E843" t="str">
            <v>Monitor Multiparámetros</v>
          </cell>
          <cell r="F843" t="str">
            <v>Medicina (Prestado a Pediatría)</v>
          </cell>
          <cell r="G843" t="str">
            <v xml:space="preserve">Pediatría </v>
          </cell>
          <cell r="H843" t="str">
            <v>EPA-P6</v>
          </cell>
          <cell r="I843" t="str">
            <v>Donación</v>
          </cell>
          <cell r="J843" t="str">
            <v>Bistos</v>
          </cell>
          <cell r="K843" t="str">
            <v>BT-770</v>
          </cell>
          <cell r="L843" t="str">
            <v>DGLC0125</v>
          </cell>
          <cell r="M843">
            <v>2021</v>
          </cell>
          <cell r="N843">
            <v>6</v>
          </cell>
          <cell r="O843" t="str">
            <v>No Invasivo</v>
          </cell>
          <cell r="Q843" t="str">
            <v>Traspaso temporal a Pediatr√≠a 18/05/21-trazabilidad</v>
          </cell>
          <cell r="R843" t="str">
            <v>Semestral</v>
          </cell>
        </row>
        <row r="844">
          <cell r="C844">
            <v>491</v>
          </cell>
          <cell r="D844" t="str">
            <v>2-121318</v>
          </cell>
          <cell r="E844" t="str">
            <v>Monitor Multiparámetros</v>
          </cell>
          <cell r="F844" t="str">
            <v>Medicina (Prestado a medicina cardiovascular)</v>
          </cell>
          <cell r="G844" t="str">
            <v>Medicina cardiovascular</v>
          </cell>
          <cell r="I844" t="str">
            <v>Donación</v>
          </cell>
          <cell r="J844" t="str">
            <v>Bistos</v>
          </cell>
          <cell r="K844" t="str">
            <v>BT-770</v>
          </cell>
          <cell r="L844" t="str">
            <v>DGL70658</v>
          </cell>
          <cell r="M844">
            <v>2021</v>
          </cell>
          <cell r="N844">
            <v>6</v>
          </cell>
          <cell r="O844" t="str">
            <v>No Invasivo</v>
          </cell>
          <cell r="Q844" t="str">
            <v>trazabilidad</v>
          </cell>
          <cell r="R844" t="str">
            <v>Semestral</v>
          </cell>
        </row>
        <row r="845">
          <cell r="C845">
            <v>492</v>
          </cell>
          <cell r="D845" t="str">
            <v>2-121319</v>
          </cell>
          <cell r="E845" t="str">
            <v>Monitor Multiparámetros</v>
          </cell>
          <cell r="F845" t="str">
            <v>Medicina</v>
          </cell>
          <cell r="G845" t="str">
            <v>Medicina interna - 5to piso</v>
          </cell>
          <cell r="I845" t="str">
            <v>Donación</v>
          </cell>
          <cell r="J845" t="str">
            <v>Bistos</v>
          </cell>
          <cell r="K845" t="str">
            <v>BT-770</v>
          </cell>
          <cell r="L845" t="str">
            <v>DGLC0128</v>
          </cell>
          <cell r="M845">
            <v>2021</v>
          </cell>
          <cell r="N845">
            <v>6</v>
          </cell>
          <cell r="O845" t="str">
            <v>No Invasivo</v>
          </cell>
          <cell r="R845" t="str">
            <v>Semestral</v>
          </cell>
        </row>
        <row r="846">
          <cell r="C846">
            <v>493</v>
          </cell>
          <cell r="D846" t="str">
            <v>2-121320</v>
          </cell>
          <cell r="E846" t="str">
            <v>Monitor Multiparámetros</v>
          </cell>
          <cell r="F846" t="str">
            <v>Medicina</v>
          </cell>
          <cell r="G846" t="str">
            <v>Medicina interna - 5to piso</v>
          </cell>
          <cell r="I846" t="str">
            <v>Donación</v>
          </cell>
          <cell r="J846" t="str">
            <v>Bistos</v>
          </cell>
          <cell r="K846" t="str">
            <v>BT-770</v>
          </cell>
          <cell r="L846" t="str">
            <v>DGL70653</v>
          </cell>
          <cell r="M846">
            <v>2021</v>
          </cell>
          <cell r="N846">
            <v>6</v>
          </cell>
          <cell r="O846" t="str">
            <v>No Invasivo</v>
          </cell>
          <cell r="R846" t="str">
            <v>Semestral</v>
          </cell>
        </row>
        <row r="847">
          <cell r="C847">
            <v>494</v>
          </cell>
          <cell r="D847" t="str">
            <v>2-121321</v>
          </cell>
          <cell r="E847" t="str">
            <v>Monitor Multiparámetros</v>
          </cell>
          <cell r="F847" t="str">
            <v>Medicina</v>
          </cell>
          <cell r="G847" t="str">
            <v>Medicina interna - 5to piso</v>
          </cell>
          <cell r="I847" t="str">
            <v>Donación</v>
          </cell>
          <cell r="J847" t="str">
            <v>Bistos</v>
          </cell>
          <cell r="K847" t="str">
            <v>BT-770</v>
          </cell>
          <cell r="L847" t="str">
            <v>DGLC0122</v>
          </cell>
          <cell r="M847">
            <v>2021</v>
          </cell>
          <cell r="N847">
            <v>6</v>
          </cell>
          <cell r="O847" t="str">
            <v>No Invasivo</v>
          </cell>
          <cell r="R847" t="str">
            <v>Semestral</v>
          </cell>
        </row>
        <row r="848">
          <cell r="C848">
            <v>495</v>
          </cell>
          <cell r="D848" t="str">
            <v>2-121322</v>
          </cell>
          <cell r="E848" t="str">
            <v>Monitor Multiparámetros</v>
          </cell>
          <cell r="F848" t="str">
            <v>Medicina</v>
          </cell>
          <cell r="G848" t="str">
            <v>Medicina interna - 5to piso</v>
          </cell>
          <cell r="I848" t="str">
            <v>Donación</v>
          </cell>
          <cell r="J848" t="str">
            <v>Bistos</v>
          </cell>
          <cell r="K848" t="str">
            <v>BT-770</v>
          </cell>
          <cell r="L848" t="str">
            <v>DGL70649</v>
          </cell>
          <cell r="M848">
            <v>2021</v>
          </cell>
          <cell r="N848">
            <v>6</v>
          </cell>
          <cell r="O848" t="str">
            <v>No Invasivo</v>
          </cell>
          <cell r="R848" t="str">
            <v>Semestral</v>
          </cell>
        </row>
        <row r="849">
          <cell r="C849">
            <v>496</v>
          </cell>
          <cell r="D849" t="str">
            <v>2-121323</v>
          </cell>
          <cell r="E849" t="str">
            <v>Monitor Multiparámetros</v>
          </cell>
          <cell r="F849" t="str">
            <v>Medicina</v>
          </cell>
          <cell r="G849" t="str">
            <v>Medicina interna - 5to piso</v>
          </cell>
          <cell r="H849" t="str">
            <v>Sala de equipos</v>
          </cell>
          <cell r="I849" t="str">
            <v>Donación</v>
          </cell>
          <cell r="J849" t="str">
            <v>Bistos</v>
          </cell>
          <cell r="K849" t="str">
            <v>BT-770</v>
          </cell>
          <cell r="L849" t="str">
            <v>DGLC0109</v>
          </cell>
          <cell r="M849">
            <v>2021</v>
          </cell>
          <cell r="N849">
            <v>6</v>
          </cell>
          <cell r="O849" t="str">
            <v>No Invasivo</v>
          </cell>
          <cell r="R849" t="str">
            <v>Semestral</v>
          </cell>
        </row>
        <row r="850">
          <cell r="C850">
            <v>497</v>
          </cell>
          <cell r="D850" t="str">
            <v>2-121324</v>
          </cell>
          <cell r="E850" t="str">
            <v>Monitor Multiparámetros</v>
          </cell>
          <cell r="F850" t="str">
            <v>Medicina (Prestado a medicina cardiovascular)</v>
          </cell>
          <cell r="G850" t="str">
            <v>Medicina cardiovascular</v>
          </cell>
          <cell r="I850" t="str">
            <v>Donación</v>
          </cell>
          <cell r="J850" t="str">
            <v>Bistos</v>
          </cell>
          <cell r="K850" t="str">
            <v>BT-770</v>
          </cell>
          <cell r="L850" t="str">
            <v>DGL70650</v>
          </cell>
          <cell r="M850">
            <v>2021</v>
          </cell>
          <cell r="N850">
            <v>6</v>
          </cell>
          <cell r="O850" t="str">
            <v>No Invasivo</v>
          </cell>
          <cell r="Q850" t="str">
            <v>.trazabilidad</v>
          </cell>
          <cell r="R850" t="str">
            <v>Semestral</v>
          </cell>
        </row>
        <row r="851">
          <cell r="C851">
            <v>498</v>
          </cell>
          <cell r="D851" t="str">
            <v>2-121325</v>
          </cell>
          <cell r="E851" t="str">
            <v>Monitor Multiparámetros</v>
          </cell>
          <cell r="F851" t="str">
            <v>Medicina</v>
          </cell>
          <cell r="G851" t="str">
            <v>Medicina interna - 5to piso</v>
          </cell>
          <cell r="I851" t="str">
            <v>Donación</v>
          </cell>
          <cell r="J851" t="str">
            <v>Bistos</v>
          </cell>
          <cell r="K851" t="str">
            <v>BT-770</v>
          </cell>
          <cell r="L851" t="str">
            <v>DGLC0127</v>
          </cell>
          <cell r="M851">
            <v>2021</v>
          </cell>
          <cell r="N851">
            <v>6</v>
          </cell>
          <cell r="O851" t="str">
            <v>No Invasivo</v>
          </cell>
          <cell r="R851" t="str">
            <v>Semestral</v>
          </cell>
        </row>
        <row r="852">
          <cell r="C852">
            <v>499</v>
          </cell>
          <cell r="D852" t="str">
            <v>2-121326</v>
          </cell>
          <cell r="E852" t="str">
            <v>Monitor Multiparámetros</v>
          </cell>
          <cell r="F852" t="str">
            <v>Hospitalización Domiciliaria</v>
          </cell>
          <cell r="G852" t="str">
            <v>Servicio programas ambulatorios</v>
          </cell>
          <cell r="I852" t="str">
            <v>Donación</v>
          </cell>
          <cell r="J852" t="str">
            <v>Bistos</v>
          </cell>
          <cell r="K852" t="str">
            <v>BT-770</v>
          </cell>
          <cell r="L852" t="str">
            <v>DGL70652</v>
          </cell>
          <cell r="M852">
            <v>2021</v>
          </cell>
          <cell r="N852">
            <v>6</v>
          </cell>
          <cell r="O852" t="str">
            <v>No Invasivo</v>
          </cell>
          <cell r="R852" t="str">
            <v>Semestral</v>
          </cell>
        </row>
        <row r="853">
          <cell r="C853">
            <v>500</v>
          </cell>
          <cell r="D853" t="str">
            <v>2-121327</v>
          </cell>
          <cell r="E853" t="str">
            <v>Monitor Multiparámetros</v>
          </cell>
          <cell r="F853" t="str">
            <v>Medicina</v>
          </cell>
          <cell r="G853" t="str">
            <v>Medicina interna - 5to piso</v>
          </cell>
          <cell r="I853" t="str">
            <v>Donación</v>
          </cell>
          <cell r="J853" t="str">
            <v>Bistos</v>
          </cell>
          <cell r="K853" t="str">
            <v>BT-770</v>
          </cell>
          <cell r="L853" t="str">
            <v>DGLC0114</v>
          </cell>
          <cell r="M853">
            <v>2021</v>
          </cell>
          <cell r="N853">
            <v>6</v>
          </cell>
          <cell r="O853" t="str">
            <v>No Invasivo</v>
          </cell>
          <cell r="R853" t="str">
            <v>Semestral</v>
          </cell>
        </row>
        <row r="854">
          <cell r="C854">
            <v>501</v>
          </cell>
          <cell r="D854" t="str">
            <v>2-121328</v>
          </cell>
          <cell r="E854" t="str">
            <v>Monitor Multiparámetros</v>
          </cell>
          <cell r="F854" t="str">
            <v>Medicina</v>
          </cell>
          <cell r="G854" t="str">
            <v>Medicina interna - 5to piso</v>
          </cell>
          <cell r="H854" t="str">
            <v>EPA-P6</v>
          </cell>
          <cell r="I854" t="str">
            <v>Donación</v>
          </cell>
          <cell r="J854" t="str">
            <v>Bistos</v>
          </cell>
          <cell r="K854" t="str">
            <v>BT-770</v>
          </cell>
          <cell r="L854" t="str">
            <v>DGLC0119</v>
          </cell>
          <cell r="M854">
            <v>2021</v>
          </cell>
          <cell r="N854">
            <v>6</v>
          </cell>
          <cell r="O854" t="str">
            <v>No Invasivo</v>
          </cell>
          <cell r="Q854" t="str">
            <v xml:space="preserve">Traspaso temporal a Pediatr√≠a 18/05/21 traza. Reemplazo de tarjeta NIBP </v>
          </cell>
          <cell r="R854" t="str">
            <v>Semestral</v>
          </cell>
        </row>
        <row r="855">
          <cell r="C855">
            <v>502</v>
          </cell>
          <cell r="D855" t="str">
            <v>2-121329</v>
          </cell>
          <cell r="E855" t="str">
            <v>Monitor Multiparámetros</v>
          </cell>
          <cell r="F855" t="str">
            <v>Medicina</v>
          </cell>
          <cell r="G855" t="str">
            <v>Medicina interna - 5to piso</v>
          </cell>
          <cell r="I855" t="str">
            <v>Donación</v>
          </cell>
          <cell r="J855" t="str">
            <v>Bistos</v>
          </cell>
          <cell r="K855" t="str">
            <v>BT-770</v>
          </cell>
          <cell r="L855" t="str">
            <v>DGLC0129</v>
          </cell>
          <cell r="M855">
            <v>2021</v>
          </cell>
          <cell r="N855">
            <v>6</v>
          </cell>
          <cell r="O855" t="str">
            <v>No Invasivo</v>
          </cell>
          <cell r="R855" t="str">
            <v>Semestral</v>
          </cell>
        </row>
        <row r="856">
          <cell r="C856">
            <v>503</v>
          </cell>
          <cell r="D856" t="str">
            <v>2-121330</v>
          </cell>
          <cell r="E856" t="str">
            <v>Monitor Multiparámetros</v>
          </cell>
          <cell r="F856" t="str">
            <v>Medicina</v>
          </cell>
          <cell r="G856" t="str">
            <v>Medicina interna - 5to piso</v>
          </cell>
          <cell r="I856" t="str">
            <v>Donación</v>
          </cell>
          <cell r="J856" t="str">
            <v>Bistos</v>
          </cell>
          <cell r="K856" t="str">
            <v>BT-770</v>
          </cell>
          <cell r="L856" t="str">
            <v>DGLC0123</v>
          </cell>
          <cell r="M856">
            <v>2021</v>
          </cell>
          <cell r="N856">
            <v>6</v>
          </cell>
          <cell r="O856" t="str">
            <v>No Invasivo</v>
          </cell>
          <cell r="R856" t="str">
            <v>Semestral</v>
          </cell>
        </row>
        <row r="857">
          <cell r="C857">
            <v>504</v>
          </cell>
          <cell r="D857" t="str">
            <v>2-121331</v>
          </cell>
          <cell r="E857" t="str">
            <v>Monitor Multiparámetros</v>
          </cell>
          <cell r="F857" t="str">
            <v>Medicina</v>
          </cell>
          <cell r="G857" t="str">
            <v>Medicina interna - 5to piso</v>
          </cell>
          <cell r="I857" t="str">
            <v>Donación</v>
          </cell>
          <cell r="J857" t="str">
            <v>Bistos</v>
          </cell>
          <cell r="K857" t="str">
            <v>BT-770</v>
          </cell>
          <cell r="L857" t="str">
            <v>DGLC0131</v>
          </cell>
          <cell r="M857">
            <v>2021</v>
          </cell>
          <cell r="N857">
            <v>6</v>
          </cell>
          <cell r="O857" t="str">
            <v>No Invasivo</v>
          </cell>
          <cell r="R857" t="str">
            <v>Semestral</v>
          </cell>
        </row>
        <row r="858">
          <cell r="C858">
            <v>505</v>
          </cell>
          <cell r="D858" t="str">
            <v>2-121332</v>
          </cell>
          <cell r="E858" t="str">
            <v>Monitor Multiparámetros</v>
          </cell>
          <cell r="F858" t="str">
            <v>Cirugía Infantil</v>
          </cell>
          <cell r="G858" t="str">
            <v>Cirugía Infantil</v>
          </cell>
          <cell r="H858" t="str">
            <v>6to piso</v>
          </cell>
          <cell r="I858" t="str">
            <v>Donación</v>
          </cell>
          <cell r="J858" t="str">
            <v>Bistos</v>
          </cell>
          <cell r="K858" t="str">
            <v>BT-770</v>
          </cell>
          <cell r="L858" t="str">
            <v>DGLC0111</v>
          </cell>
          <cell r="M858">
            <v>2021</v>
          </cell>
          <cell r="N858">
            <v>6</v>
          </cell>
          <cell r="O858" t="str">
            <v>No Invasivo</v>
          </cell>
          <cell r="R858" t="str">
            <v>Semestral</v>
          </cell>
        </row>
        <row r="859">
          <cell r="C859">
            <v>506</v>
          </cell>
          <cell r="D859" t="str">
            <v>2-121333</v>
          </cell>
          <cell r="E859" t="str">
            <v>Monitor Multiparámetros</v>
          </cell>
          <cell r="F859" t="str">
            <v>Medicina</v>
          </cell>
          <cell r="G859" t="str">
            <v>Medicina interna - 5to piso</v>
          </cell>
          <cell r="I859" t="str">
            <v>Donación</v>
          </cell>
          <cell r="J859" t="str">
            <v>Bistos</v>
          </cell>
          <cell r="K859" t="str">
            <v>BT-770</v>
          </cell>
          <cell r="L859" t="str">
            <v>DGLC0113</v>
          </cell>
          <cell r="M859">
            <v>2021</v>
          </cell>
          <cell r="N859">
            <v>6</v>
          </cell>
          <cell r="O859" t="str">
            <v>No Invasivo</v>
          </cell>
          <cell r="R859" t="str">
            <v>Semestral</v>
          </cell>
        </row>
        <row r="860">
          <cell r="C860">
            <v>507</v>
          </cell>
          <cell r="D860" t="str">
            <v>2-121334</v>
          </cell>
          <cell r="E860" t="str">
            <v>Monitor Multiparámetros</v>
          </cell>
          <cell r="F860" t="str">
            <v>Medicina</v>
          </cell>
          <cell r="G860" t="str">
            <v>Medicina interna - 5to piso</v>
          </cell>
          <cell r="I860" t="str">
            <v>Donación</v>
          </cell>
          <cell r="J860" t="str">
            <v>Bistos</v>
          </cell>
          <cell r="K860" t="str">
            <v>BT-770</v>
          </cell>
          <cell r="L860" t="str">
            <v>DGLC0110</v>
          </cell>
          <cell r="M860">
            <v>2021</v>
          </cell>
          <cell r="N860">
            <v>6</v>
          </cell>
          <cell r="O860" t="str">
            <v>No Invasivo</v>
          </cell>
          <cell r="R860" t="str">
            <v>Semestral</v>
          </cell>
        </row>
        <row r="861">
          <cell r="C861">
            <v>508</v>
          </cell>
          <cell r="D861" t="str">
            <v>2-121335</v>
          </cell>
          <cell r="E861" t="str">
            <v>Monitor Multiparámetros</v>
          </cell>
          <cell r="F861" t="str">
            <v>Medicina</v>
          </cell>
          <cell r="G861" t="str">
            <v>Medicina interna - 5to piso</v>
          </cell>
          <cell r="I861" t="str">
            <v>Donación</v>
          </cell>
          <cell r="J861" t="str">
            <v>Bistos</v>
          </cell>
          <cell r="K861" t="str">
            <v>BT-770</v>
          </cell>
          <cell r="L861" t="str">
            <v>DGL70655</v>
          </cell>
          <cell r="M861">
            <v>2021</v>
          </cell>
          <cell r="N861">
            <v>6</v>
          </cell>
          <cell r="O861" t="str">
            <v>No Invasivo</v>
          </cell>
          <cell r="R861" t="str">
            <v>Semestral</v>
          </cell>
        </row>
        <row r="862">
          <cell r="C862">
            <v>509</v>
          </cell>
          <cell r="D862" t="str">
            <v>2-121336</v>
          </cell>
          <cell r="E862" t="str">
            <v>Monitor Multiparámetros</v>
          </cell>
          <cell r="F862" t="str">
            <v>Medicina</v>
          </cell>
          <cell r="G862" t="str">
            <v>Medicina interna - 5to piso</v>
          </cell>
          <cell r="I862" t="str">
            <v>Donación</v>
          </cell>
          <cell r="J862" t="str">
            <v>Bistos</v>
          </cell>
          <cell r="K862" t="str">
            <v>BT-770</v>
          </cell>
          <cell r="L862" t="str">
            <v>DGL80024</v>
          </cell>
          <cell r="M862">
            <v>2021</v>
          </cell>
          <cell r="N862">
            <v>6</v>
          </cell>
          <cell r="O862" t="str">
            <v>No Invasivo</v>
          </cell>
          <cell r="R862" t="str">
            <v>Semestral</v>
          </cell>
        </row>
        <row r="863">
          <cell r="C863">
            <v>510</v>
          </cell>
          <cell r="D863" t="str">
            <v>2-121337</v>
          </cell>
          <cell r="E863" t="str">
            <v>Monitor Multiparámetros</v>
          </cell>
          <cell r="F863" t="str">
            <v>Medicina</v>
          </cell>
          <cell r="G863" t="str">
            <v>Medicina interna - 5to piso</v>
          </cell>
          <cell r="I863" t="str">
            <v>Donación</v>
          </cell>
          <cell r="J863" t="str">
            <v>Bistos</v>
          </cell>
          <cell r="K863" t="str">
            <v>BT-770</v>
          </cell>
          <cell r="L863" t="str">
            <v>DGL80022</v>
          </cell>
          <cell r="M863">
            <v>2021</v>
          </cell>
          <cell r="N863">
            <v>6</v>
          </cell>
          <cell r="O863" t="str">
            <v>No Invasivo</v>
          </cell>
          <cell r="R863" t="str">
            <v>Semestral</v>
          </cell>
        </row>
        <row r="864">
          <cell r="C864">
            <v>511</v>
          </cell>
          <cell r="D864" t="str">
            <v>2-121338</v>
          </cell>
          <cell r="E864" t="str">
            <v>Monitor Multiparámetros</v>
          </cell>
          <cell r="F864" t="str">
            <v>Medicina</v>
          </cell>
          <cell r="G864" t="str">
            <v>Medicina interna - 5to piso</v>
          </cell>
          <cell r="I864" t="str">
            <v>Donación</v>
          </cell>
          <cell r="J864" t="str">
            <v>Bistos</v>
          </cell>
          <cell r="K864" t="str">
            <v>BT-770</v>
          </cell>
          <cell r="L864" t="str">
            <v>DGL80023</v>
          </cell>
          <cell r="M864">
            <v>2021</v>
          </cell>
          <cell r="N864">
            <v>6</v>
          </cell>
          <cell r="O864" t="str">
            <v>No Invasivo</v>
          </cell>
          <cell r="R864" t="str">
            <v>Semestral</v>
          </cell>
        </row>
        <row r="865">
          <cell r="C865">
            <v>512</v>
          </cell>
          <cell r="D865" t="str">
            <v>2-121499</v>
          </cell>
          <cell r="E865" t="str">
            <v>Monitor Multiparámetros</v>
          </cell>
          <cell r="F865" t="str">
            <v>Pabellón Quirúrgico</v>
          </cell>
          <cell r="G865" t="str">
            <v>Pabellón Central</v>
          </cell>
          <cell r="H865" t="str">
            <v>Pabellón 5</v>
          </cell>
          <cell r="I865" t="str">
            <v>Adquirido</v>
          </cell>
          <cell r="J865" t="str">
            <v>Drager</v>
          </cell>
          <cell r="K865" t="str">
            <v>M540</v>
          </cell>
          <cell r="L865">
            <v>5613165575</v>
          </cell>
          <cell r="M865">
            <v>2021</v>
          </cell>
          <cell r="N865">
            <v>6</v>
          </cell>
          <cell r="O865" t="str">
            <v>Invasivo</v>
          </cell>
          <cell r="Q865" t="str">
            <v>Equipo enviado a ST Drager 23-06-25. Carcasa rota</v>
          </cell>
          <cell r="R865" t="str">
            <v>Semestral</v>
          </cell>
        </row>
        <row r="866">
          <cell r="C866">
            <v>513</v>
          </cell>
          <cell r="D866" t="str">
            <v>2-121524</v>
          </cell>
          <cell r="E866" t="str">
            <v>Monitor Multiparámetros</v>
          </cell>
          <cell r="F866" t="str">
            <v>Endoscopía</v>
          </cell>
          <cell r="G866" t="str">
            <v>Endoscopía</v>
          </cell>
          <cell r="H866" t="str">
            <v>CDT</v>
          </cell>
          <cell r="I866" t="str">
            <v>Donación</v>
          </cell>
          <cell r="J866" t="str">
            <v>Bistos</v>
          </cell>
          <cell r="K866" t="str">
            <v>BT-770</v>
          </cell>
          <cell r="L866" t="str">
            <v>DGM40020</v>
          </cell>
          <cell r="M866">
            <v>2021</v>
          </cell>
          <cell r="N866">
            <v>6</v>
          </cell>
          <cell r="O866" t="str">
            <v>No Invasivo</v>
          </cell>
          <cell r="R866" t="str">
            <v>Semestral</v>
          </cell>
        </row>
        <row r="867">
          <cell r="C867">
            <v>514</v>
          </cell>
          <cell r="D867" t="str">
            <v>2-121525</v>
          </cell>
          <cell r="E867" t="str">
            <v>Monitor Multiparámetros</v>
          </cell>
          <cell r="F867" t="str">
            <v>Endoscopía</v>
          </cell>
          <cell r="G867" t="str">
            <v>Endoscopía</v>
          </cell>
          <cell r="H867" t="str">
            <v>CDT</v>
          </cell>
          <cell r="I867" t="str">
            <v>Donación</v>
          </cell>
          <cell r="J867" t="str">
            <v>Bistos</v>
          </cell>
          <cell r="K867" t="str">
            <v>BT-770</v>
          </cell>
          <cell r="L867" t="str">
            <v>DGM40018</v>
          </cell>
          <cell r="M867">
            <v>2021</v>
          </cell>
          <cell r="N867">
            <v>6</v>
          </cell>
          <cell r="O867" t="str">
            <v>No Invasivo</v>
          </cell>
          <cell r="R867" t="str">
            <v>Semestral</v>
          </cell>
        </row>
        <row r="868">
          <cell r="C868">
            <v>515</v>
          </cell>
          <cell r="D868" t="str">
            <v>2-121526</v>
          </cell>
          <cell r="E868" t="str">
            <v>Monitor Multiparámetros</v>
          </cell>
          <cell r="F868" t="str">
            <v>Medicina</v>
          </cell>
          <cell r="G868" t="str">
            <v>Medicina interna - 5to piso</v>
          </cell>
          <cell r="I868" t="str">
            <v>Donación</v>
          </cell>
          <cell r="J868" t="str">
            <v>Bistos</v>
          </cell>
          <cell r="K868" t="str">
            <v>BT-770</v>
          </cell>
          <cell r="L868" t="str">
            <v>DGM40013</v>
          </cell>
          <cell r="M868">
            <v>2021</v>
          </cell>
          <cell r="N868">
            <v>6</v>
          </cell>
          <cell r="O868" t="str">
            <v>No Invasivo</v>
          </cell>
          <cell r="R868" t="str">
            <v>Semestral</v>
          </cell>
        </row>
        <row r="869">
          <cell r="C869">
            <v>516</v>
          </cell>
          <cell r="D869" t="str">
            <v>2-121527</v>
          </cell>
          <cell r="E869" t="str">
            <v>Monitor Multiparámetros</v>
          </cell>
          <cell r="F869" t="str">
            <v>Medicina</v>
          </cell>
          <cell r="G869" t="str">
            <v>Medicina interna - 5to piso</v>
          </cell>
          <cell r="H869" t="str">
            <v>Sala de equipos EPA</v>
          </cell>
          <cell r="I869" t="str">
            <v>Donación</v>
          </cell>
          <cell r="J869" t="str">
            <v>Bistos</v>
          </cell>
          <cell r="K869" t="str">
            <v>BT-770</v>
          </cell>
          <cell r="L869" t="str">
            <v>DGM40037</v>
          </cell>
          <cell r="M869">
            <v>2021</v>
          </cell>
          <cell r="N869">
            <v>6</v>
          </cell>
          <cell r="O869" t="str">
            <v>No Invasivo</v>
          </cell>
          <cell r="R869" t="str">
            <v>Semestral</v>
          </cell>
        </row>
        <row r="870">
          <cell r="C870">
            <v>517</v>
          </cell>
          <cell r="D870" t="str">
            <v>2-121528</v>
          </cell>
          <cell r="E870" t="str">
            <v>Monitor Multiparámetros</v>
          </cell>
          <cell r="F870" t="str">
            <v>Medicina</v>
          </cell>
          <cell r="G870" t="str">
            <v>Medicina interna - 5to piso</v>
          </cell>
          <cell r="I870" t="str">
            <v>Donación</v>
          </cell>
          <cell r="J870" t="str">
            <v>Bistos</v>
          </cell>
          <cell r="K870" t="str">
            <v>BT-770</v>
          </cell>
          <cell r="L870" t="str">
            <v>DGM40028</v>
          </cell>
          <cell r="M870">
            <v>2021</v>
          </cell>
          <cell r="N870">
            <v>6</v>
          </cell>
          <cell r="O870" t="str">
            <v>No Invasivo</v>
          </cell>
          <cell r="R870" t="str">
            <v>Semestral</v>
          </cell>
        </row>
        <row r="871">
          <cell r="C871">
            <v>518</v>
          </cell>
          <cell r="D871" t="str">
            <v>2-121529</v>
          </cell>
          <cell r="E871" t="str">
            <v>Monitor Multiparámetros</v>
          </cell>
          <cell r="F871" t="str">
            <v>Cirugía Infantil</v>
          </cell>
          <cell r="G871" t="str">
            <v>Cirugía Infantil</v>
          </cell>
          <cell r="H871" t="str">
            <v>6to piso</v>
          </cell>
          <cell r="I871" t="str">
            <v>Donación</v>
          </cell>
          <cell r="J871" t="str">
            <v>Bistos</v>
          </cell>
          <cell r="K871" t="str">
            <v>BT-770</v>
          </cell>
          <cell r="L871" t="str">
            <v>DGM40016</v>
          </cell>
          <cell r="M871">
            <v>2021</v>
          </cell>
          <cell r="N871">
            <v>6</v>
          </cell>
          <cell r="O871" t="str">
            <v>No Invasivo</v>
          </cell>
          <cell r="Q871" t="str">
            <v>equipo con falla en cables ECG ST</v>
          </cell>
          <cell r="R871" t="str">
            <v>Semestral</v>
          </cell>
        </row>
        <row r="872">
          <cell r="C872">
            <v>519</v>
          </cell>
          <cell r="D872" t="str">
            <v>2-121530</v>
          </cell>
          <cell r="E872" t="str">
            <v>Monitor Multiparámetros</v>
          </cell>
          <cell r="F872" t="str">
            <v>Medicina</v>
          </cell>
          <cell r="G872" t="str">
            <v>Medicina interna - 5to piso</v>
          </cell>
          <cell r="H872" t="str">
            <v>Sala de procedimiento TNA</v>
          </cell>
          <cell r="I872" t="str">
            <v>Donación</v>
          </cell>
          <cell r="J872" t="str">
            <v>Bistos</v>
          </cell>
          <cell r="K872" t="str">
            <v>BT-770</v>
          </cell>
          <cell r="L872" t="str">
            <v>DGM40026</v>
          </cell>
          <cell r="M872">
            <v>2021</v>
          </cell>
          <cell r="N872">
            <v>6</v>
          </cell>
          <cell r="O872" t="str">
            <v>No Invasivo</v>
          </cell>
          <cell r="R872" t="str">
            <v>Semestral</v>
          </cell>
        </row>
        <row r="873">
          <cell r="C873">
            <v>520</v>
          </cell>
          <cell r="D873" t="str">
            <v>2-121531</v>
          </cell>
          <cell r="E873" t="str">
            <v>Monitor Multiparámetros</v>
          </cell>
          <cell r="F873" t="str">
            <v>Medicina</v>
          </cell>
          <cell r="G873" t="str">
            <v>Medicina interna - 5to piso</v>
          </cell>
          <cell r="H873" t="str">
            <v>597-4</v>
          </cell>
          <cell r="I873" t="str">
            <v>Donación</v>
          </cell>
          <cell r="J873" t="str">
            <v>Bistos</v>
          </cell>
          <cell r="K873" t="str">
            <v>BT-770</v>
          </cell>
          <cell r="L873" t="str">
            <v>DGM40019</v>
          </cell>
          <cell r="M873">
            <v>2021</v>
          </cell>
          <cell r="N873">
            <v>6</v>
          </cell>
          <cell r="O873" t="str">
            <v>No Invasivo</v>
          </cell>
          <cell r="R873" t="str">
            <v>Semestral</v>
          </cell>
        </row>
        <row r="874">
          <cell r="C874">
            <v>521</v>
          </cell>
          <cell r="D874" t="str">
            <v>2-121532</v>
          </cell>
          <cell r="E874" t="str">
            <v>Monitor Multiparámetros</v>
          </cell>
          <cell r="F874" t="str">
            <v>Medicina</v>
          </cell>
          <cell r="G874" t="str">
            <v>Medicina interna - 5to piso</v>
          </cell>
          <cell r="I874" t="str">
            <v>Donación</v>
          </cell>
          <cell r="J874" t="str">
            <v>Bistos</v>
          </cell>
          <cell r="K874" t="str">
            <v>BT-770</v>
          </cell>
          <cell r="L874" t="str">
            <v>DGM40041</v>
          </cell>
          <cell r="M874">
            <v>2021</v>
          </cell>
          <cell r="N874">
            <v>6</v>
          </cell>
          <cell r="O874" t="str">
            <v>No Invasivo</v>
          </cell>
          <cell r="R874" t="str">
            <v>Semestral</v>
          </cell>
        </row>
        <row r="875">
          <cell r="C875">
            <v>522</v>
          </cell>
          <cell r="D875" t="str">
            <v>2-121533</v>
          </cell>
          <cell r="E875" t="str">
            <v>Monitor Multiparámetros</v>
          </cell>
          <cell r="F875" t="str">
            <v>Medicina (Prestado a medicina cardiovascular)</v>
          </cell>
          <cell r="G875" t="str">
            <v>Medicina cardiovascular</v>
          </cell>
          <cell r="I875" t="str">
            <v>Donación</v>
          </cell>
          <cell r="J875" t="str">
            <v>Bistos</v>
          </cell>
          <cell r="K875" t="str">
            <v>BT-770</v>
          </cell>
          <cell r="L875" t="str">
            <v>DGM40042</v>
          </cell>
          <cell r="M875">
            <v>2021</v>
          </cell>
          <cell r="N875">
            <v>6</v>
          </cell>
          <cell r="O875" t="str">
            <v>No Invasivo</v>
          </cell>
          <cell r="Q875" t="str">
            <v>trazabilidad</v>
          </cell>
          <cell r="R875" t="str">
            <v>Semestral</v>
          </cell>
        </row>
        <row r="876">
          <cell r="C876">
            <v>523</v>
          </cell>
          <cell r="D876" t="str">
            <v>2-121534</v>
          </cell>
          <cell r="E876" t="str">
            <v>Monitor Multiparámetros</v>
          </cell>
          <cell r="F876" t="str">
            <v>Medicina (Prestado a medicina cardiovascular)</v>
          </cell>
          <cell r="G876" t="str">
            <v>Medicina cardiovascular</v>
          </cell>
          <cell r="I876" t="str">
            <v>Donación</v>
          </cell>
          <cell r="J876" t="str">
            <v>Bistos</v>
          </cell>
          <cell r="K876" t="str">
            <v>BT-770</v>
          </cell>
          <cell r="L876" t="str">
            <v>DGM40023</v>
          </cell>
          <cell r="M876">
            <v>2021</v>
          </cell>
          <cell r="N876">
            <v>6</v>
          </cell>
          <cell r="O876" t="str">
            <v>No Invasivo</v>
          </cell>
          <cell r="Q876" t="str">
            <v>trazabilidad</v>
          </cell>
          <cell r="R876" t="str">
            <v>Semestral</v>
          </cell>
        </row>
        <row r="877">
          <cell r="C877">
            <v>524</v>
          </cell>
          <cell r="D877" t="str">
            <v>2-121535</v>
          </cell>
          <cell r="E877" t="str">
            <v>Monitor Multiparámetros</v>
          </cell>
          <cell r="F877" t="str">
            <v>Medicina</v>
          </cell>
          <cell r="G877" t="str">
            <v>Medicina interna - 5to piso</v>
          </cell>
          <cell r="H877" t="str">
            <v>598-2</v>
          </cell>
          <cell r="I877" t="str">
            <v>Donación</v>
          </cell>
          <cell r="J877" t="str">
            <v>Bistos</v>
          </cell>
          <cell r="K877" t="str">
            <v>BT-770</v>
          </cell>
          <cell r="L877" t="str">
            <v>DGM40032</v>
          </cell>
          <cell r="M877">
            <v>2021</v>
          </cell>
          <cell r="N877">
            <v>6</v>
          </cell>
          <cell r="O877" t="str">
            <v>No Invasivo</v>
          </cell>
        </row>
        <row r="878">
          <cell r="C878">
            <v>525</v>
          </cell>
          <cell r="D878" t="str">
            <v>2-121536</v>
          </cell>
          <cell r="E878" t="str">
            <v>Monitor Multiparámetros</v>
          </cell>
          <cell r="F878" t="str">
            <v>Pediatría</v>
          </cell>
          <cell r="G878" t="str">
            <v>Pediatría Segunda Infancia</v>
          </cell>
          <cell r="H878" t="str">
            <v>EP 699</v>
          </cell>
          <cell r="I878" t="str">
            <v>Donación</v>
          </cell>
          <cell r="J878" t="str">
            <v>Bistos</v>
          </cell>
          <cell r="K878" t="str">
            <v>BT-770</v>
          </cell>
          <cell r="L878" t="str">
            <v>DGM40040</v>
          </cell>
          <cell r="M878">
            <v>2021</v>
          </cell>
          <cell r="N878">
            <v>6</v>
          </cell>
          <cell r="O878" t="str">
            <v>No Invasivo</v>
          </cell>
          <cell r="Q878" t="str">
            <v>Monitor con falla en el parametro de presión arterial, alarma de fuga, equipo enviado a ST el 15-12-2025 ST 19-20677</v>
          </cell>
          <cell r="R878" t="str">
            <v>Semestral</v>
          </cell>
        </row>
        <row r="879">
          <cell r="C879">
            <v>526</v>
          </cell>
          <cell r="D879" t="str">
            <v>2-121537</v>
          </cell>
          <cell r="E879" t="str">
            <v>Monitor Multiparámetros</v>
          </cell>
          <cell r="F879" t="str">
            <v>Pediatría</v>
          </cell>
          <cell r="G879" t="str">
            <v>Pediatría Segunda Infancia</v>
          </cell>
          <cell r="H879" t="str">
            <v>Lactantes</v>
          </cell>
          <cell r="I879" t="str">
            <v>Donación</v>
          </cell>
          <cell r="J879" t="str">
            <v>Bistos</v>
          </cell>
          <cell r="K879" t="str">
            <v>BT-770</v>
          </cell>
          <cell r="L879" t="str">
            <v>DGM40021</v>
          </cell>
          <cell r="M879">
            <v>2021</v>
          </cell>
          <cell r="N879">
            <v>6</v>
          </cell>
          <cell r="O879" t="str">
            <v>No Invasivo</v>
          </cell>
          <cell r="Q879" t="str">
            <v>Equipo es enviado a ST Newlab 06-03-25. Con problemas en PANI y bater√≠a</v>
          </cell>
          <cell r="R879" t="str">
            <v>Semestral</v>
          </cell>
        </row>
        <row r="880">
          <cell r="C880">
            <v>527</v>
          </cell>
          <cell r="D880" t="str">
            <v>2-121538</v>
          </cell>
          <cell r="E880" t="str">
            <v>Monitor Multiparámetros</v>
          </cell>
          <cell r="F880" t="str">
            <v>Pediatría</v>
          </cell>
          <cell r="G880" t="str">
            <v>Pediatría Segunda Infancia</v>
          </cell>
          <cell r="H880" t="str">
            <v>Lactantes</v>
          </cell>
          <cell r="I880" t="str">
            <v>Donación</v>
          </cell>
          <cell r="J880" t="str">
            <v>Bistos</v>
          </cell>
          <cell r="K880" t="str">
            <v>BT-770</v>
          </cell>
          <cell r="L880" t="str">
            <v>DGM40036</v>
          </cell>
          <cell r="M880">
            <v>2021</v>
          </cell>
          <cell r="N880">
            <v>6</v>
          </cell>
          <cell r="O880" t="str">
            <v>No Invasivo</v>
          </cell>
          <cell r="Q880" t="str">
            <v>Monitor con falla de presión arterial. Equipo enviado a ST el 11-12-2025</v>
          </cell>
          <cell r="R880" t="str">
            <v>Semestral</v>
          </cell>
        </row>
        <row r="881">
          <cell r="C881">
            <v>528</v>
          </cell>
          <cell r="D881" t="str">
            <v>2-121539</v>
          </cell>
          <cell r="E881" t="str">
            <v>Monitor Multiparámetros</v>
          </cell>
          <cell r="F881" t="str">
            <v>Pediatría</v>
          </cell>
          <cell r="G881" t="str">
            <v>Pediatría Segunda Infancia</v>
          </cell>
          <cell r="H881" t="str">
            <v>EP 699</v>
          </cell>
          <cell r="I881" t="str">
            <v>Donación</v>
          </cell>
          <cell r="J881" t="str">
            <v>Bistos</v>
          </cell>
          <cell r="K881" t="str">
            <v>BT-770</v>
          </cell>
          <cell r="L881" t="str">
            <v>DGM40015</v>
          </cell>
          <cell r="M881">
            <v>2021</v>
          </cell>
          <cell r="N881">
            <v>6</v>
          </cell>
          <cell r="O881" t="str">
            <v>No Invasivo</v>
          </cell>
          <cell r="Q881" t="str">
            <v>Equipo es enviado a ST Newlab 28-05-25. No mide saturacion</v>
          </cell>
          <cell r="R881" t="str">
            <v>Semestral</v>
          </cell>
        </row>
        <row r="882">
          <cell r="C882">
            <v>529</v>
          </cell>
          <cell r="D882" t="str">
            <v>2-121540</v>
          </cell>
          <cell r="E882" t="str">
            <v>Monitor Multiparámetros</v>
          </cell>
          <cell r="F882" t="str">
            <v>Pediatría</v>
          </cell>
          <cell r="G882" t="str">
            <v>Pediatría Segunda Infancia</v>
          </cell>
          <cell r="I882" t="str">
            <v>Donación</v>
          </cell>
          <cell r="J882" t="str">
            <v>Bistos</v>
          </cell>
          <cell r="K882" t="str">
            <v>BT-770</v>
          </cell>
          <cell r="L882" t="str">
            <v>DGM40031</v>
          </cell>
          <cell r="M882">
            <v>2021</v>
          </cell>
          <cell r="N882">
            <v>6</v>
          </cell>
          <cell r="O882" t="str">
            <v>No Invasivo</v>
          </cell>
          <cell r="R882" t="str">
            <v>Semestral</v>
          </cell>
        </row>
        <row r="883">
          <cell r="C883">
            <v>530</v>
          </cell>
          <cell r="D883" t="str">
            <v>2-121541</v>
          </cell>
          <cell r="E883" t="str">
            <v>Monitor Multiparámetros</v>
          </cell>
          <cell r="F883" t="str">
            <v>Pediatría</v>
          </cell>
          <cell r="G883" t="str">
            <v>Pediatría Segunda Infancia</v>
          </cell>
          <cell r="H883" t="str">
            <v>EP 696</v>
          </cell>
          <cell r="I883" t="str">
            <v>Donación</v>
          </cell>
          <cell r="J883" t="str">
            <v>Bistos</v>
          </cell>
          <cell r="K883" t="str">
            <v>BT-770</v>
          </cell>
          <cell r="L883" t="str">
            <v>DGM40038</v>
          </cell>
          <cell r="M883">
            <v>2021</v>
          </cell>
          <cell r="N883">
            <v>6</v>
          </cell>
          <cell r="O883" t="str">
            <v>No Invasivo</v>
          </cell>
          <cell r="R883" t="str">
            <v>Semestral</v>
          </cell>
        </row>
        <row r="884">
          <cell r="C884">
            <v>531</v>
          </cell>
          <cell r="D884" t="str">
            <v>2-121542</v>
          </cell>
          <cell r="E884" t="str">
            <v>Monitor Multiparámetros</v>
          </cell>
          <cell r="F884" t="str">
            <v>Pediatría</v>
          </cell>
          <cell r="G884" t="str">
            <v>Pediatría Segunda Infancia</v>
          </cell>
          <cell r="H884" t="str">
            <v>TB 605</v>
          </cell>
          <cell r="I884" t="str">
            <v>Donación</v>
          </cell>
          <cell r="J884" t="str">
            <v>Bistos</v>
          </cell>
          <cell r="K884" t="str">
            <v>BT-770</v>
          </cell>
          <cell r="L884" t="str">
            <v>DGM40030</v>
          </cell>
          <cell r="M884">
            <v>2021</v>
          </cell>
          <cell r="N884">
            <v>6</v>
          </cell>
          <cell r="O884" t="str">
            <v>No Invasivo</v>
          </cell>
          <cell r="R884" t="str">
            <v>Semestral</v>
          </cell>
        </row>
        <row r="885">
          <cell r="C885">
            <v>532</v>
          </cell>
          <cell r="D885" t="str">
            <v>2-121543</v>
          </cell>
          <cell r="E885" t="str">
            <v>Monitor Multiparámetros</v>
          </cell>
          <cell r="F885" t="str">
            <v>Pediatría</v>
          </cell>
          <cell r="G885" t="str">
            <v>Pediatría Segunda Infancia</v>
          </cell>
          <cell r="H885" t="str">
            <v>EP 695</v>
          </cell>
          <cell r="I885" t="str">
            <v>Donación</v>
          </cell>
          <cell r="J885" t="str">
            <v>Bistos</v>
          </cell>
          <cell r="K885" t="str">
            <v>BT-770</v>
          </cell>
          <cell r="L885" t="str">
            <v>DGM40029</v>
          </cell>
          <cell r="M885">
            <v>2021</v>
          </cell>
          <cell r="N885">
            <v>6</v>
          </cell>
          <cell r="O885" t="str">
            <v>No Invasivo</v>
          </cell>
          <cell r="R885" t="str">
            <v>Semestral</v>
          </cell>
        </row>
        <row r="886">
          <cell r="C886">
            <v>533</v>
          </cell>
          <cell r="D886" t="str">
            <v>2-121564</v>
          </cell>
          <cell r="E886" t="str">
            <v>Monitor Multiparámetros</v>
          </cell>
          <cell r="F886" t="str">
            <v>Urgencias Gineco-Obstétricas</v>
          </cell>
          <cell r="G886" t="str">
            <v>Urgencia Obstétrica</v>
          </cell>
          <cell r="H886" t="str">
            <v>Preparto</v>
          </cell>
          <cell r="I886" t="str">
            <v>Adquirido</v>
          </cell>
          <cell r="J886" t="str">
            <v xml:space="preserve">Nihon Kohden </v>
          </cell>
          <cell r="K886" t="str">
            <v>PVM-2701</v>
          </cell>
          <cell r="L886">
            <v>132816</v>
          </cell>
          <cell r="M886">
            <v>2021</v>
          </cell>
          <cell r="N886">
            <v>6</v>
          </cell>
          <cell r="O886" t="str">
            <v>No Invasivo</v>
          </cell>
          <cell r="Q886" t="str">
            <v>Equipo llega de Bluemedical 24-09-2024. Sin fallos</v>
          </cell>
          <cell r="R886" t="str">
            <v>Semestral</v>
          </cell>
        </row>
        <row r="887">
          <cell r="C887">
            <v>534</v>
          </cell>
          <cell r="D887" t="str">
            <v>2-121565</v>
          </cell>
          <cell r="E887" t="str">
            <v>Monitor Multiparámetros</v>
          </cell>
          <cell r="F887" t="str">
            <v>Urgencias Gineco-Obstétricas</v>
          </cell>
          <cell r="G887" t="str">
            <v>Urgencia Obstétrica</v>
          </cell>
          <cell r="H887" t="str">
            <v>Preparto</v>
          </cell>
          <cell r="I887" t="str">
            <v>Adquirido</v>
          </cell>
          <cell r="J887" t="str">
            <v xml:space="preserve">Nihon Kohden </v>
          </cell>
          <cell r="K887" t="str">
            <v>PVM-2701</v>
          </cell>
          <cell r="L887">
            <v>132818</v>
          </cell>
          <cell r="M887">
            <v>2021</v>
          </cell>
          <cell r="N887">
            <v>6</v>
          </cell>
          <cell r="O887" t="str">
            <v>No Invasivo</v>
          </cell>
          <cell r="R887" t="str">
            <v>Semestral</v>
          </cell>
        </row>
        <row r="888">
          <cell r="C888">
            <v>535</v>
          </cell>
          <cell r="D888" t="str">
            <v>2-121566</v>
          </cell>
          <cell r="E888" t="str">
            <v>Monitor Multiparámetros</v>
          </cell>
          <cell r="F888" t="str">
            <v>Urgencias Gineco-Obstétricas</v>
          </cell>
          <cell r="G888" t="str">
            <v>Urgencia Obstétrica</v>
          </cell>
          <cell r="H888" t="str">
            <v>Preparto</v>
          </cell>
          <cell r="I888" t="str">
            <v>Adquirido</v>
          </cell>
          <cell r="J888" t="str">
            <v xml:space="preserve">Nihon Kohden </v>
          </cell>
          <cell r="K888" t="str">
            <v>PVM-2701</v>
          </cell>
          <cell r="L888">
            <v>132819</v>
          </cell>
          <cell r="M888">
            <v>2021</v>
          </cell>
          <cell r="N888">
            <v>6</v>
          </cell>
          <cell r="O888" t="str">
            <v>No Invasivo</v>
          </cell>
          <cell r="R888" t="str">
            <v>Semestral</v>
          </cell>
        </row>
        <row r="889">
          <cell r="C889">
            <v>536</v>
          </cell>
          <cell r="D889" t="str">
            <v>2-121691</v>
          </cell>
          <cell r="E889" t="str">
            <v>Monitor Multiparámetros</v>
          </cell>
          <cell r="F889" t="str">
            <v>Hemato Oncología Adulto</v>
          </cell>
          <cell r="G889" t="str">
            <v>Hemato Oncología Adulto</v>
          </cell>
          <cell r="I889" t="str">
            <v>Adquirido</v>
          </cell>
          <cell r="J889" t="str">
            <v xml:space="preserve">Nihon Kohden </v>
          </cell>
          <cell r="K889" t="str">
            <v>PVM-4763K</v>
          </cell>
          <cell r="L889">
            <v>2943</v>
          </cell>
          <cell r="M889">
            <v>2021</v>
          </cell>
          <cell r="N889">
            <v>6</v>
          </cell>
          <cell r="O889" t="str">
            <v>Invasivo</v>
          </cell>
          <cell r="R889" t="str">
            <v>Semestral</v>
          </cell>
        </row>
        <row r="890">
          <cell r="C890">
            <v>537</v>
          </cell>
          <cell r="D890" t="str">
            <v>2-121692</v>
          </cell>
          <cell r="E890" t="str">
            <v>Monitor Multiparámetros</v>
          </cell>
          <cell r="F890" t="str">
            <v>Hemato Oncología Adulto</v>
          </cell>
          <cell r="G890" t="str">
            <v>Hemato Oncología Adulto</v>
          </cell>
          <cell r="I890" t="str">
            <v>Adquirido</v>
          </cell>
          <cell r="J890" t="str">
            <v xml:space="preserve">Nihon Kohden </v>
          </cell>
          <cell r="K890" t="str">
            <v>PVM-4763K</v>
          </cell>
          <cell r="L890">
            <v>2731</v>
          </cell>
          <cell r="M890">
            <v>2021</v>
          </cell>
          <cell r="N890">
            <v>6</v>
          </cell>
          <cell r="O890" t="str">
            <v>Invasivo</v>
          </cell>
          <cell r="Q890" t="str">
            <v>equipo enviado a ST el 8 de julio de 2025 por carlos</v>
          </cell>
          <cell r="R890" t="str">
            <v>Semestral</v>
          </cell>
        </row>
        <row r="891">
          <cell r="C891">
            <v>538</v>
          </cell>
          <cell r="D891" t="str">
            <v>2-121693</v>
          </cell>
          <cell r="E891" t="str">
            <v>Monitor Multiparámetros</v>
          </cell>
          <cell r="F891" t="str">
            <v>Hemato Oncología Adulto</v>
          </cell>
          <cell r="G891" t="str">
            <v>Hemato Oncología Adulto</v>
          </cell>
          <cell r="I891" t="str">
            <v>Adquirido</v>
          </cell>
          <cell r="J891" t="str">
            <v xml:space="preserve">Nihon Kohden </v>
          </cell>
          <cell r="K891" t="str">
            <v>PVM-4763K</v>
          </cell>
          <cell r="L891">
            <v>2915</v>
          </cell>
          <cell r="M891">
            <v>2021</v>
          </cell>
          <cell r="N891">
            <v>6</v>
          </cell>
          <cell r="O891" t="str">
            <v>Invasivo</v>
          </cell>
          <cell r="Q891" t="str">
            <v>17/12/2025 Equipo enviado a ST</v>
          </cell>
          <cell r="R891" t="str">
            <v>Semestral</v>
          </cell>
        </row>
        <row r="892">
          <cell r="C892">
            <v>539</v>
          </cell>
          <cell r="D892" t="str">
            <v>2-121694</v>
          </cell>
          <cell r="E892" t="str">
            <v>Monitor Multiparámetros</v>
          </cell>
          <cell r="F892" t="str">
            <v>Hemato Oncología Adulto</v>
          </cell>
          <cell r="G892" t="str">
            <v>Hemato Oncología Adulto</v>
          </cell>
          <cell r="I892" t="str">
            <v>Adquirido</v>
          </cell>
          <cell r="J892" t="str">
            <v xml:space="preserve">Nihon Kohden </v>
          </cell>
          <cell r="K892" t="str">
            <v>PVM-4763K</v>
          </cell>
          <cell r="L892" t="str">
            <v>02922.</v>
          </cell>
          <cell r="M892">
            <v>2021</v>
          </cell>
          <cell r="N892">
            <v>6</v>
          </cell>
          <cell r="O892" t="str">
            <v>Invasivo</v>
          </cell>
          <cell r="Q892" t="str">
            <v>Equipo reparado</v>
          </cell>
          <cell r="R892" t="str">
            <v>Semestral</v>
          </cell>
        </row>
        <row r="893">
          <cell r="C893">
            <v>540</v>
          </cell>
          <cell r="D893" t="str">
            <v>2-118718</v>
          </cell>
          <cell r="E893" t="str">
            <v>Monitor Multiparámetros</v>
          </cell>
          <cell r="F893" t="str">
            <v>Servicio Social</v>
          </cell>
          <cell r="G893" t="str">
            <v>Servicio Social</v>
          </cell>
          <cell r="H893" t="str">
            <v>Domicilio</v>
          </cell>
          <cell r="I893" t="str">
            <v>Adquirido</v>
          </cell>
          <cell r="J893" t="str">
            <v>General Meditech</v>
          </cell>
          <cell r="K893" t="str">
            <v>G3H</v>
          </cell>
          <cell r="L893" t="str">
            <v>G3HQ40045</v>
          </cell>
          <cell r="M893">
            <v>2021</v>
          </cell>
          <cell r="N893">
            <v>6</v>
          </cell>
          <cell r="O893" t="str">
            <v>No Invasivo</v>
          </cell>
          <cell r="R893" t="str">
            <v>Semestral</v>
          </cell>
        </row>
        <row r="894">
          <cell r="C894">
            <v>541</v>
          </cell>
          <cell r="D894" t="str">
            <v>2-117350</v>
          </cell>
          <cell r="E894" t="str">
            <v>Monitor Multiparámetros</v>
          </cell>
          <cell r="F894" t="str">
            <v>Servicio Social</v>
          </cell>
          <cell r="G894" t="str">
            <v>Servicio Social</v>
          </cell>
          <cell r="H894" t="str">
            <v>Domicilio</v>
          </cell>
          <cell r="I894" t="str">
            <v>Adquirido</v>
          </cell>
          <cell r="J894" t="str">
            <v>General Meditech</v>
          </cell>
          <cell r="K894" t="str">
            <v>G3F</v>
          </cell>
          <cell r="L894" t="str">
            <v>G3FPB0029</v>
          </cell>
          <cell r="M894">
            <v>2021</v>
          </cell>
          <cell r="N894">
            <v>6</v>
          </cell>
          <cell r="O894" t="str">
            <v>No Invasivo</v>
          </cell>
          <cell r="R894" t="str">
            <v>Semestral</v>
          </cell>
        </row>
        <row r="895">
          <cell r="C895">
            <v>542</v>
          </cell>
          <cell r="D895" t="str">
            <v>2-121711</v>
          </cell>
          <cell r="E895" t="str">
            <v>Monitor Multiparámetros</v>
          </cell>
          <cell r="F895" t="str">
            <v>CDT</v>
          </cell>
          <cell r="G895" t="str">
            <v>CDT Módulo A</v>
          </cell>
          <cell r="H895" t="str">
            <v>Box 6</v>
          </cell>
          <cell r="I895" t="str">
            <v>Adquirido</v>
          </cell>
          <cell r="J895" t="str">
            <v>Philips</v>
          </cell>
          <cell r="K895" t="str">
            <v>CM100</v>
          </cell>
          <cell r="L895" t="str">
            <v>CN92392265</v>
          </cell>
          <cell r="M895">
            <v>2021</v>
          </cell>
          <cell r="N895">
            <v>6</v>
          </cell>
          <cell r="O895" t="str">
            <v>No Invasivo</v>
          </cell>
          <cell r="R895" t="str">
            <v>Semestral</v>
          </cell>
        </row>
        <row r="896">
          <cell r="C896">
            <v>543</v>
          </cell>
          <cell r="D896" t="str">
            <v>2-121712</v>
          </cell>
          <cell r="E896" t="str">
            <v>Monitor Multiparámetros</v>
          </cell>
          <cell r="F896" t="str">
            <v>Quimioterapia Ambulatoria Adulto</v>
          </cell>
          <cell r="G896" t="str">
            <v>QMT Ambulatoria Adulto</v>
          </cell>
          <cell r="H896" t="str">
            <v>EPC-P2</v>
          </cell>
          <cell r="I896" t="str">
            <v>Adquirido</v>
          </cell>
          <cell r="J896" t="str">
            <v>Philips</v>
          </cell>
          <cell r="K896" t="str">
            <v>CM100</v>
          </cell>
          <cell r="L896" t="str">
            <v>CN92373992</v>
          </cell>
          <cell r="M896">
            <v>2021</v>
          </cell>
          <cell r="N896">
            <v>6</v>
          </cell>
          <cell r="O896" t="str">
            <v>No Invasivo</v>
          </cell>
          <cell r="R896" t="str">
            <v>Semestral</v>
          </cell>
        </row>
        <row r="897">
          <cell r="C897">
            <v>544</v>
          </cell>
          <cell r="D897" t="str">
            <v>2-121714</v>
          </cell>
          <cell r="E897" t="str">
            <v>Monitor Multiparámetros</v>
          </cell>
          <cell r="F897" t="str">
            <v>Quimioterapia Ambulatoria Adulto</v>
          </cell>
          <cell r="G897" t="str">
            <v>QMT Ambulatoria Adulto</v>
          </cell>
          <cell r="H897" t="str">
            <v>EPC-P2</v>
          </cell>
          <cell r="I897" t="str">
            <v>Adquirido</v>
          </cell>
          <cell r="J897" t="str">
            <v>Philips</v>
          </cell>
          <cell r="K897" t="str">
            <v>CM100</v>
          </cell>
          <cell r="L897" t="str">
            <v>CN92392228</v>
          </cell>
          <cell r="M897">
            <v>2021</v>
          </cell>
          <cell r="N897">
            <v>6</v>
          </cell>
          <cell r="O897" t="str">
            <v>No Invasivo</v>
          </cell>
          <cell r="R897" t="str">
            <v>Semestral</v>
          </cell>
        </row>
        <row r="898">
          <cell r="C898">
            <v>545</v>
          </cell>
          <cell r="D898" t="str">
            <v>2-121715</v>
          </cell>
          <cell r="E898" t="str">
            <v>Monitor Multiparámetros</v>
          </cell>
          <cell r="F898" t="str">
            <v>Quimioterapia Ambulatoria Adulto</v>
          </cell>
          <cell r="G898" t="str">
            <v>QMT Ambulatoria Adulto</v>
          </cell>
          <cell r="H898" t="str">
            <v>EPC-P2</v>
          </cell>
          <cell r="I898" t="str">
            <v>Adquirido</v>
          </cell>
          <cell r="J898" t="str">
            <v>Philips</v>
          </cell>
          <cell r="K898" t="str">
            <v>CM100</v>
          </cell>
          <cell r="L898" t="str">
            <v>CN92392229</v>
          </cell>
          <cell r="M898">
            <v>2021</v>
          </cell>
          <cell r="N898">
            <v>6</v>
          </cell>
          <cell r="O898" t="str">
            <v>No Invasivo</v>
          </cell>
          <cell r="R898" t="str">
            <v>Semestral</v>
          </cell>
        </row>
        <row r="899">
          <cell r="C899">
            <v>546</v>
          </cell>
          <cell r="D899" t="str">
            <v>2-121716</v>
          </cell>
          <cell r="E899" t="str">
            <v>Monitor Multiparámetros</v>
          </cell>
          <cell r="F899" t="str">
            <v>Quimioterapia Ambulatoria Adulto</v>
          </cell>
          <cell r="G899" t="str">
            <v>QMT Ambulatoria Adulto</v>
          </cell>
          <cell r="H899" t="str">
            <v>EPC-P2</v>
          </cell>
          <cell r="I899" t="str">
            <v>Adquirido</v>
          </cell>
          <cell r="J899" t="str">
            <v>Philips</v>
          </cell>
          <cell r="K899" t="str">
            <v>CM100</v>
          </cell>
          <cell r="L899" t="str">
            <v>CN92392230</v>
          </cell>
          <cell r="M899">
            <v>2021</v>
          </cell>
          <cell r="N899">
            <v>6</v>
          </cell>
          <cell r="O899" t="str">
            <v>No Invasivo</v>
          </cell>
          <cell r="R899" t="str">
            <v>Semestral</v>
          </cell>
        </row>
        <row r="900">
          <cell r="C900">
            <v>547</v>
          </cell>
          <cell r="D900" t="str">
            <v>2-121717</v>
          </cell>
          <cell r="E900" t="str">
            <v>Monitor Multiparámetros</v>
          </cell>
          <cell r="F900" t="str">
            <v>Quimioterapia Ambulatoria Adulto</v>
          </cell>
          <cell r="G900" t="str">
            <v>QMT Ambulatoria Adulto</v>
          </cell>
          <cell r="H900" t="str">
            <v>EPC-P2</v>
          </cell>
          <cell r="I900" t="str">
            <v>Adquirido</v>
          </cell>
          <cell r="J900" t="str">
            <v>Philips</v>
          </cell>
          <cell r="K900" t="str">
            <v>CM100</v>
          </cell>
          <cell r="L900" t="str">
            <v>CN92392264</v>
          </cell>
          <cell r="M900">
            <v>2021</v>
          </cell>
          <cell r="N900">
            <v>6</v>
          </cell>
          <cell r="O900" t="str">
            <v>No Invasivo</v>
          </cell>
          <cell r="R900" t="str">
            <v>Semestral</v>
          </cell>
        </row>
        <row r="901">
          <cell r="C901">
            <v>548</v>
          </cell>
          <cell r="D901" t="str">
            <v>2-121791</v>
          </cell>
          <cell r="E901" t="str">
            <v>Monitor Multiparámetros</v>
          </cell>
          <cell r="F901" t="str">
            <v>Endoscopía</v>
          </cell>
          <cell r="G901" t="str">
            <v>Endoscopía</v>
          </cell>
          <cell r="I901" t="str">
            <v>Adquirido</v>
          </cell>
          <cell r="J901" t="str">
            <v>Philips</v>
          </cell>
          <cell r="K901" t="str">
            <v>CM120</v>
          </cell>
          <cell r="L901" t="str">
            <v>CN92395201</v>
          </cell>
          <cell r="M901">
            <v>2021</v>
          </cell>
          <cell r="N901">
            <v>6</v>
          </cell>
          <cell r="O901" t="str">
            <v>Invasivo</v>
          </cell>
          <cell r="R901" t="str">
            <v>Semestral</v>
          </cell>
        </row>
        <row r="902">
          <cell r="C902">
            <v>549</v>
          </cell>
          <cell r="D902" t="str">
            <v>2-121792</v>
          </cell>
          <cell r="E902" t="str">
            <v>Monitor Multiparámetros</v>
          </cell>
          <cell r="F902" t="str">
            <v>Endoscopía</v>
          </cell>
          <cell r="G902" t="str">
            <v>Endoscopía</v>
          </cell>
          <cell r="I902" t="str">
            <v>Adquirido</v>
          </cell>
          <cell r="J902" t="str">
            <v>Philips</v>
          </cell>
          <cell r="K902" t="str">
            <v>CM120</v>
          </cell>
          <cell r="L902" t="str">
            <v>CN92395203</v>
          </cell>
          <cell r="M902">
            <v>2021</v>
          </cell>
          <cell r="N902">
            <v>6</v>
          </cell>
          <cell r="O902" t="str">
            <v>Invasivo</v>
          </cell>
          <cell r="R902" t="str">
            <v>Semestral</v>
          </cell>
        </row>
        <row r="903">
          <cell r="C903">
            <v>550</v>
          </cell>
          <cell r="D903" t="str">
            <v>2-121554</v>
          </cell>
          <cell r="E903" t="str">
            <v>Monitor Multiparámetros</v>
          </cell>
          <cell r="F903" t="str">
            <v>Urgencia Infantil</v>
          </cell>
          <cell r="G903" t="str">
            <v>Urgencia Infantil</v>
          </cell>
          <cell r="H903" t="str">
            <v>SUI Box 2</v>
          </cell>
          <cell r="I903" t="str">
            <v>Adquirido</v>
          </cell>
          <cell r="J903" t="str">
            <v xml:space="preserve">Nihon Kohden </v>
          </cell>
          <cell r="K903" t="str">
            <v>PVM-2701</v>
          </cell>
          <cell r="L903" t="str">
            <v>0132821.</v>
          </cell>
          <cell r="M903">
            <v>2021</v>
          </cell>
          <cell r="N903">
            <v>6</v>
          </cell>
          <cell r="O903" t="str">
            <v>No Invasivo</v>
          </cell>
          <cell r="R903" t="str">
            <v>Semestral</v>
          </cell>
        </row>
        <row r="904">
          <cell r="C904">
            <v>551</v>
          </cell>
          <cell r="D904" t="str">
            <v>2-121555</v>
          </cell>
          <cell r="E904" t="str">
            <v>Monitor Multiparámetros</v>
          </cell>
          <cell r="F904" t="str">
            <v>Urgencia Infantil</v>
          </cell>
          <cell r="G904" t="str">
            <v>Urgencia Infantil</v>
          </cell>
          <cell r="H904" t="str">
            <v>SUI Box 3</v>
          </cell>
          <cell r="I904" t="str">
            <v>Adquirido</v>
          </cell>
          <cell r="J904" t="str">
            <v xml:space="preserve">Nihon Kohden </v>
          </cell>
          <cell r="K904" t="str">
            <v>PVM-2701</v>
          </cell>
          <cell r="L904" t="str">
            <v>0132822.</v>
          </cell>
          <cell r="M904">
            <v>2021</v>
          </cell>
          <cell r="N904">
            <v>6</v>
          </cell>
          <cell r="O904" t="str">
            <v>No Invasivo</v>
          </cell>
          <cell r="R904" t="str">
            <v>Semestral</v>
          </cell>
        </row>
        <row r="905">
          <cell r="C905">
            <v>552</v>
          </cell>
          <cell r="D905" t="str">
            <v>2-121556</v>
          </cell>
          <cell r="E905" t="str">
            <v>Monitor Multiparámetros</v>
          </cell>
          <cell r="F905" t="str">
            <v>Urgencia Infantil</v>
          </cell>
          <cell r="G905" t="str">
            <v>Urgencia Infantil</v>
          </cell>
          <cell r="H905" t="str">
            <v>SUI IRA</v>
          </cell>
          <cell r="I905" t="str">
            <v>Adquirido</v>
          </cell>
          <cell r="J905" t="str">
            <v xml:space="preserve">Nihon Kohden </v>
          </cell>
          <cell r="K905" t="str">
            <v>PVM-2701</v>
          </cell>
          <cell r="L905" t="str">
            <v>0132823.</v>
          </cell>
          <cell r="M905">
            <v>2021</v>
          </cell>
          <cell r="N905">
            <v>6</v>
          </cell>
          <cell r="O905" t="str">
            <v>No Invasivo</v>
          </cell>
          <cell r="R905" t="str">
            <v>Semestral</v>
          </cell>
        </row>
        <row r="906">
          <cell r="C906">
            <v>553</v>
          </cell>
          <cell r="D906" t="str">
            <v>2-121557</v>
          </cell>
          <cell r="E906" t="str">
            <v>Monitor Multiparámetros</v>
          </cell>
          <cell r="F906" t="str">
            <v>Urgencia Infantil</v>
          </cell>
          <cell r="G906" t="str">
            <v>Urgencia Infantil</v>
          </cell>
          <cell r="H906" t="str">
            <v>SUI Observaci√≥n</v>
          </cell>
          <cell r="I906" t="str">
            <v>Adquirido</v>
          </cell>
          <cell r="J906" t="str">
            <v xml:space="preserve">Nihon Kohden </v>
          </cell>
          <cell r="K906" t="str">
            <v>PVM-2701</v>
          </cell>
          <cell r="L906" t="str">
            <v>0132824.</v>
          </cell>
          <cell r="M906">
            <v>2021</v>
          </cell>
          <cell r="N906">
            <v>6</v>
          </cell>
          <cell r="O906" t="str">
            <v>No Invasivo</v>
          </cell>
          <cell r="R906" t="str">
            <v>Semestral</v>
          </cell>
        </row>
        <row r="907">
          <cell r="C907">
            <v>554</v>
          </cell>
          <cell r="D907" t="str">
            <v>2-121558</v>
          </cell>
          <cell r="E907" t="str">
            <v>Monitor Multiparámetros</v>
          </cell>
          <cell r="F907" t="str">
            <v>Urgencia Infantil</v>
          </cell>
          <cell r="G907" t="str">
            <v>Urgencia Infantil</v>
          </cell>
          <cell r="H907" t="str">
            <v>SUI Box 4</v>
          </cell>
          <cell r="I907" t="str">
            <v>Adquirido</v>
          </cell>
          <cell r="J907" t="str">
            <v xml:space="preserve">Nihon Kohden </v>
          </cell>
          <cell r="K907" t="str">
            <v>PVM-2701</v>
          </cell>
          <cell r="L907" t="str">
            <v>0132825.</v>
          </cell>
          <cell r="M907">
            <v>2021</v>
          </cell>
          <cell r="N907">
            <v>6</v>
          </cell>
          <cell r="O907" t="str">
            <v>No Invasivo</v>
          </cell>
          <cell r="R907" t="str">
            <v>Semestral</v>
          </cell>
        </row>
        <row r="908">
          <cell r="C908">
            <v>555</v>
          </cell>
          <cell r="D908" t="str">
            <v>2-121559</v>
          </cell>
          <cell r="E908" t="str">
            <v>Monitor Multiparámetros</v>
          </cell>
          <cell r="F908" t="str">
            <v>Urgencia Infantil</v>
          </cell>
          <cell r="G908" t="str">
            <v>Urgencia Infantil</v>
          </cell>
          <cell r="H908" t="str">
            <v>SUI Box 1</v>
          </cell>
          <cell r="I908" t="str">
            <v>Adquirido</v>
          </cell>
          <cell r="J908" t="str">
            <v xml:space="preserve">Nihon Kohden </v>
          </cell>
          <cell r="K908" t="str">
            <v>PVM-2701</v>
          </cell>
          <cell r="L908" t="str">
            <v>0132826.</v>
          </cell>
          <cell r="M908">
            <v>2021</v>
          </cell>
          <cell r="N908">
            <v>6</v>
          </cell>
          <cell r="O908" t="str">
            <v>No Invasivo</v>
          </cell>
          <cell r="R908" t="str">
            <v>Semestral</v>
          </cell>
        </row>
        <row r="909">
          <cell r="C909">
            <v>556</v>
          </cell>
          <cell r="D909" t="str">
            <v>2-121560</v>
          </cell>
          <cell r="E909" t="str">
            <v>Monitor Multiparámetros</v>
          </cell>
          <cell r="F909" t="str">
            <v>Urgencia Infantil</v>
          </cell>
          <cell r="G909" t="str">
            <v>Urgencia Infantil</v>
          </cell>
          <cell r="H909" t="str">
            <v xml:space="preserve">SUI TMT </v>
          </cell>
          <cell r="I909" t="str">
            <v>Adquirido</v>
          </cell>
          <cell r="J909" t="str">
            <v xml:space="preserve">Nihon Kohden </v>
          </cell>
          <cell r="K909" t="str">
            <v>PVM-2701</v>
          </cell>
          <cell r="L909" t="str">
            <v>0132829.</v>
          </cell>
          <cell r="M909">
            <v>2021</v>
          </cell>
          <cell r="N909">
            <v>6</v>
          </cell>
          <cell r="O909" t="str">
            <v>No Invasivo</v>
          </cell>
          <cell r="R909" t="str">
            <v>Semestral</v>
          </cell>
        </row>
        <row r="910">
          <cell r="C910">
            <v>557</v>
          </cell>
          <cell r="D910" t="str">
            <v>2-121561</v>
          </cell>
          <cell r="E910" t="str">
            <v>Monitor Multiparámetros</v>
          </cell>
          <cell r="F910" t="str">
            <v>Urgencia Infantil</v>
          </cell>
          <cell r="G910" t="str">
            <v>Urgencia Infantil</v>
          </cell>
          <cell r="H910" t="str">
            <v>Priorización SUI</v>
          </cell>
          <cell r="I910" t="str">
            <v>Adquirido</v>
          </cell>
          <cell r="J910" t="str">
            <v xml:space="preserve">Nihon Kohden </v>
          </cell>
          <cell r="K910" t="str">
            <v>PVM-2701</v>
          </cell>
          <cell r="L910" t="str">
            <v>0132834.</v>
          </cell>
          <cell r="M910">
            <v>2021</v>
          </cell>
          <cell r="N910">
            <v>6</v>
          </cell>
          <cell r="O910" t="str">
            <v>No Invasivo</v>
          </cell>
          <cell r="R910" t="str">
            <v>Semestral</v>
          </cell>
        </row>
        <row r="911">
          <cell r="C911">
            <v>558</v>
          </cell>
          <cell r="D911" t="str">
            <v>2-121562</v>
          </cell>
          <cell r="E911" t="str">
            <v>Monitor Multiparámetros</v>
          </cell>
          <cell r="F911" t="str">
            <v>Urgencia Infantil</v>
          </cell>
          <cell r="G911" t="str">
            <v>Urgencia Infantil</v>
          </cell>
          <cell r="H911" t="str">
            <v>SUI Observaci√≥n</v>
          </cell>
          <cell r="I911" t="str">
            <v>Adquirido</v>
          </cell>
          <cell r="J911" t="str">
            <v xml:space="preserve">Nihon Kohden </v>
          </cell>
          <cell r="K911" t="str">
            <v>BSM-3763</v>
          </cell>
          <cell r="L911" t="str">
            <v>19109.</v>
          </cell>
          <cell r="M911">
            <v>2021</v>
          </cell>
          <cell r="N911">
            <v>6</v>
          </cell>
          <cell r="O911" t="str">
            <v>Invasivo</v>
          </cell>
          <cell r="R911" t="str">
            <v>Semestral</v>
          </cell>
        </row>
        <row r="912">
          <cell r="C912">
            <v>559</v>
          </cell>
          <cell r="D912" t="str">
            <v>2-121563</v>
          </cell>
          <cell r="E912" t="str">
            <v>Monitor Multiparámetros</v>
          </cell>
          <cell r="F912" t="str">
            <v>Urgencia Infantil</v>
          </cell>
          <cell r="G912" t="str">
            <v>Urgencia Infantil</v>
          </cell>
          <cell r="H912" t="str">
            <v>Reanimación SUI</v>
          </cell>
          <cell r="I912" t="str">
            <v>Adquirido</v>
          </cell>
          <cell r="J912" t="str">
            <v xml:space="preserve">Nihon Kohden </v>
          </cell>
          <cell r="K912" t="str">
            <v>BSM-1763</v>
          </cell>
          <cell r="L912" t="str">
            <v>08813.</v>
          </cell>
          <cell r="M912">
            <v>2021</v>
          </cell>
          <cell r="N912">
            <v>6</v>
          </cell>
          <cell r="O912" t="str">
            <v>Invasivo</v>
          </cell>
          <cell r="R912" t="str">
            <v>Semestral</v>
          </cell>
        </row>
        <row r="913">
          <cell r="C913">
            <v>560</v>
          </cell>
          <cell r="D913" t="str">
            <v>2-121798</v>
          </cell>
          <cell r="E913" t="str">
            <v>Monitor Multiparámetros</v>
          </cell>
          <cell r="F913" t="str">
            <v>Pabellón CMA</v>
          </cell>
          <cell r="G913" t="str">
            <v>Pabellón CMA</v>
          </cell>
          <cell r="I913" t="str">
            <v>Adquirido</v>
          </cell>
          <cell r="J913" t="str">
            <v>Mindray</v>
          </cell>
          <cell r="K913" t="str">
            <v>BeneVision N1</v>
          </cell>
          <cell r="L913" t="str">
            <v>AA3-14033891</v>
          </cell>
          <cell r="M913">
            <v>2021</v>
          </cell>
          <cell r="N913">
            <v>6</v>
          </cell>
          <cell r="O913" t="str">
            <v>Invasivo</v>
          </cell>
          <cell r="R913" t="str">
            <v>Semestral</v>
          </cell>
        </row>
        <row r="914">
          <cell r="C914">
            <v>561</v>
          </cell>
          <cell r="D914" t="str">
            <v>2-122346</v>
          </cell>
          <cell r="E914" t="str">
            <v>Monitor Multiparámetros</v>
          </cell>
          <cell r="F914" t="str">
            <v>Ginecología</v>
          </cell>
          <cell r="G914" t="str">
            <v>Ginecología</v>
          </cell>
          <cell r="I914" t="str">
            <v>Adquirido</v>
          </cell>
          <cell r="J914" t="str">
            <v>Philips</v>
          </cell>
          <cell r="K914" t="str">
            <v>CM100</v>
          </cell>
          <cell r="L914" t="str">
            <v>CN92392254</v>
          </cell>
          <cell r="M914">
            <v>2022</v>
          </cell>
          <cell r="N914">
            <v>7</v>
          </cell>
          <cell r="O914" t="str">
            <v>No Invasivo</v>
          </cell>
          <cell r="R914" t="str">
            <v>Semestral</v>
          </cell>
        </row>
        <row r="915">
          <cell r="C915">
            <v>562</v>
          </cell>
          <cell r="D915" t="str">
            <v>2-124761</v>
          </cell>
          <cell r="E915" t="str">
            <v>Monitor Multiparámetros</v>
          </cell>
          <cell r="F915" t="str">
            <v>Servicio Social</v>
          </cell>
          <cell r="G915" t="str">
            <v>Servicio Social</v>
          </cell>
          <cell r="I915" t="str">
            <v>Adquirido</v>
          </cell>
          <cell r="J915" t="str">
            <v>Sinohero</v>
          </cell>
          <cell r="K915" t="str">
            <v>H5</v>
          </cell>
          <cell r="L915">
            <v>22060100008</v>
          </cell>
          <cell r="M915">
            <v>2023</v>
          </cell>
          <cell r="N915">
            <v>8</v>
          </cell>
          <cell r="O915" t="str">
            <v>No Invasivo</v>
          </cell>
          <cell r="R915" t="str">
            <v>Semestral</v>
          </cell>
        </row>
        <row r="916">
          <cell r="C916">
            <v>563</v>
          </cell>
          <cell r="D916" t="str">
            <v>2-124762</v>
          </cell>
          <cell r="E916" t="str">
            <v>Monitor Multiparámetros</v>
          </cell>
          <cell r="F916" t="str">
            <v>Servicio Social</v>
          </cell>
          <cell r="G916" t="str">
            <v>Servicio Social</v>
          </cell>
          <cell r="I916" t="str">
            <v>Adquirido</v>
          </cell>
          <cell r="J916" t="str">
            <v>Sinohero</v>
          </cell>
          <cell r="K916" t="str">
            <v>H5</v>
          </cell>
          <cell r="L916">
            <v>22060100003</v>
          </cell>
          <cell r="M916">
            <v>2023</v>
          </cell>
          <cell r="N916">
            <v>8</v>
          </cell>
          <cell r="O916" t="str">
            <v>No Invasivo</v>
          </cell>
          <cell r="R916" t="str">
            <v>Semestral</v>
          </cell>
        </row>
        <row r="917">
          <cell r="C917">
            <v>564</v>
          </cell>
          <cell r="D917" t="str">
            <v>2-124831</v>
          </cell>
          <cell r="E917" t="str">
            <v>Monitor Multiparámetros</v>
          </cell>
          <cell r="F917" t="str">
            <v>Urgencia Adulto</v>
          </cell>
          <cell r="G917" t="str">
            <v>Urgencia Adulto</v>
          </cell>
          <cell r="I917" t="str">
            <v>Adquirido</v>
          </cell>
          <cell r="J917" t="str">
            <v>Drager</v>
          </cell>
          <cell r="K917" t="str">
            <v>Vista 120 S</v>
          </cell>
          <cell r="L917" t="str">
            <v>S2SRC0509</v>
          </cell>
          <cell r="M917">
            <v>2023</v>
          </cell>
          <cell r="N917">
            <v>8</v>
          </cell>
          <cell r="R917" t="str">
            <v>Semestral</v>
          </cell>
        </row>
        <row r="918">
          <cell r="C918">
            <v>565</v>
          </cell>
          <cell r="D918" t="str">
            <v>2-124832</v>
          </cell>
          <cell r="E918" t="str">
            <v>Monitor Multiparámetros</v>
          </cell>
          <cell r="F918" t="str">
            <v>Urgencia Adulto</v>
          </cell>
          <cell r="G918" t="str">
            <v>Urgencia Adulto</v>
          </cell>
          <cell r="I918" t="str">
            <v>Adquirido</v>
          </cell>
          <cell r="J918" t="str">
            <v>Drager</v>
          </cell>
          <cell r="K918" t="str">
            <v>Vista 120 S</v>
          </cell>
          <cell r="L918" t="str">
            <v>S2SNE1555</v>
          </cell>
          <cell r="M918">
            <v>2023</v>
          </cell>
          <cell r="N918">
            <v>8</v>
          </cell>
          <cell r="R918" t="str">
            <v>Semestral</v>
          </cell>
        </row>
        <row r="919">
          <cell r="C919">
            <v>566</v>
          </cell>
          <cell r="D919" t="str">
            <v>2-124842</v>
          </cell>
          <cell r="E919" t="str">
            <v>Monitor Multiparámetros</v>
          </cell>
          <cell r="F919" t="str">
            <v>Urgencia Adulto</v>
          </cell>
          <cell r="G919" t="str">
            <v>Urgencia Adulto</v>
          </cell>
          <cell r="I919" t="str">
            <v>Adquirido</v>
          </cell>
          <cell r="J919" t="str">
            <v>Drager</v>
          </cell>
          <cell r="K919" t="str">
            <v>Vista 120</v>
          </cell>
          <cell r="L919" t="str">
            <v>VGSRC0520</v>
          </cell>
          <cell r="M919">
            <v>2023</v>
          </cell>
          <cell r="N919">
            <v>8</v>
          </cell>
          <cell r="O919" t="str">
            <v>Invasivo</v>
          </cell>
          <cell r="R919" t="str">
            <v>Semestral</v>
          </cell>
        </row>
        <row r="920">
          <cell r="C920">
            <v>567</v>
          </cell>
          <cell r="D920" t="str">
            <v>2-124843</v>
          </cell>
          <cell r="E920" t="str">
            <v>Monitor Multiparámetros</v>
          </cell>
          <cell r="F920" t="str">
            <v>Urgencia Adulto</v>
          </cell>
          <cell r="G920" t="str">
            <v>Urgencia Adulto</v>
          </cell>
          <cell r="I920" t="str">
            <v>Adquirido</v>
          </cell>
          <cell r="J920" t="str">
            <v>Drager</v>
          </cell>
          <cell r="K920" t="str">
            <v>Vista 120</v>
          </cell>
          <cell r="L920" t="str">
            <v>VGSRC0467</v>
          </cell>
          <cell r="M920">
            <v>2023</v>
          </cell>
          <cell r="N920">
            <v>8</v>
          </cell>
          <cell r="O920" t="str">
            <v>Invasivo</v>
          </cell>
          <cell r="R920" t="str">
            <v>Semestral</v>
          </cell>
        </row>
        <row r="921">
          <cell r="C921">
            <v>568</v>
          </cell>
          <cell r="D921" t="str">
            <v>2-124844</v>
          </cell>
          <cell r="E921" t="str">
            <v>Monitor Multiparámetros</v>
          </cell>
          <cell r="F921" t="str">
            <v>Urgencia Adulto</v>
          </cell>
          <cell r="G921" t="str">
            <v>Urgencia Adulto</v>
          </cell>
          <cell r="I921" t="str">
            <v>Adquirido</v>
          </cell>
          <cell r="J921" t="str">
            <v>Drager</v>
          </cell>
          <cell r="K921" t="str">
            <v>Vista 120</v>
          </cell>
          <cell r="L921" t="str">
            <v>VGSRC0512</v>
          </cell>
          <cell r="M921">
            <v>2023</v>
          </cell>
          <cell r="N921">
            <v>8</v>
          </cell>
          <cell r="O921" t="str">
            <v>Invasivo</v>
          </cell>
          <cell r="R921" t="str">
            <v>Semestral</v>
          </cell>
        </row>
        <row r="922">
          <cell r="C922">
            <v>569</v>
          </cell>
          <cell r="D922" t="str">
            <v>2-124845</v>
          </cell>
          <cell r="E922" t="str">
            <v>Monitor Multiparámetros</v>
          </cell>
          <cell r="F922" t="str">
            <v>Urgencia Adulto</v>
          </cell>
          <cell r="G922" t="str">
            <v>Urgencia Adulto</v>
          </cell>
          <cell r="I922" t="str">
            <v>Adquirido</v>
          </cell>
          <cell r="J922" t="str">
            <v>Drager</v>
          </cell>
          <cell r="K922" t="str">
            <v>Vista 120</v>
          </cell>
          <cell r="L922" t="str">
            <v>VGSRC0472</v>
          </cell>
          <cell r="M922">
            <v>2023</v>
          </cell>
          <cell r="N922">
            <v>8</v>
          </cell>
          <cell r="O922" t="str">
            <v>Invasivo</v>
          </cell>
          <cell r="R922" t="str">
            <v>Semestral</v>
          </cell>
        </row>
        <row r="923">
          <cell r="C923">
            <v>570</v>
          </cell>
          <cell r="D923" t="str">
            <v>2-124846</v>
          </cell>
          <cell r="E923" t="str">
            <v>Monitor Multiparámetros</v>
          </cell>
          <cell r="F923" t="str">
            <v>Urgencia Adulto</v>
          </cell>
          <cell r="G923" t="str">
            <v>Urgencia Adulto</v>
          </cell>
          <cell r="I923" t="str">
            <v>Adquirido</v>
          </cell>
          <cell r="J923" t="str">
            <v>Drager</v>
          </cell>
          <cell r="K923" t="str">
            <v>Vista 120</v>
          </cell>
          <cell r="L923" t="str">
            <v>VGSRC0490</v>
          </cell>
          <cell r="M923">
            <v>2023</v>
          </cell>
          <cell r="N923">
            <v>8</v>
          </cell>
          <cell r="O923" t="str">
            <v>Invasivo</v>
          </cell>
          <cell r="R923" t="str">
            <v>Semestral</v>
          </cell>
        </row>
        <row r="924">
          <cell r="C924">
            <v>571</v>
          </cell>
          <cell r="D924" t="str">
            <v>2-124847</v>
          </cell>
          <cell r="E924" t="str">
            <v>Monitor Multiparámetros</v>
          </cell>
          <cell r="F924" t="str">
            <v>Urgencia Adulto</v>
          </cell>
          <cell r="G924" t="str">
            <v>Urgencia Adulto</v>
          </cell>
          <cell r="I924" t="str">
            <v>Adquirido</v>
          </cell>
          <cell r="J924" t="str">
            <v>Drager</v>
          </cell>
          <cell r="K924" t="str">
            <v>Vista 120</v>
          </cell>
          <cell r="L924" t="str">
            <v>VGSRC0495</v>
          </cell>
          <cell r="M924">
            <v>2023</v>
          </cell>
          <cell r="N924">
            <v>8</v>
          </cell>
          <cell r="O924" t="str">
            <v>Invasivo</v>
          </cell>
          <cell r="R924" t="str">
            <v>Semestral</v>
          </cell>
        </row>
        <row r="925">
          <cell r="C925">
            <v>572</v>
          </cell>
          <cell r="D925" t="str">
            <v>2-124848</v>
          </cell>
          <cell r="E925" t="str">
            <v>Monitor Multiparámetros</v>
          </cell>
          <cell r="F925" t="str">
            <v>Urgencia Adulto</v>
          </cell>
          <cell r="G925" t="str">
            <v>Urgencia Adulto</v>
          </cell>
          <cell r="I925" t="str">
            <v>Adquirido</v>
          </cell>
          <cell r="J925" t="str">
            <v>Drager</v>
          </cell>
          <cell r="K925" t="str">
            <v>Vista 120</v>
          </cell>
          <cell r="L925" t="str">
            <v>VGSRC0521</v>
          </cell>
          <cell r="M925">
            <v>2023</v>
          </cell>
          <cell r="N925">
            <v>8</v>
          </cell>
          <cell r="O925" t="str">
            <v>Invasivo</v>
          </cell>
          <cell r="R925" t="str">
            <v>Semestral</v>
          </cell>
        </row>
        <row r="926">
          <cell r="C926">
            <v>573</v>
          </cell>
          <cell r="D926" t="str">
            <v>2-124849</v>
          </cell>
          <cell r="E926" t="str">
            <v>Monitor Multiparámetros</v>
          </cell>
          <cell r="F926" t="str">
            <v>Urgencia Adulto</v>
          </cell>
          <cell r="G926" t="str">
            <v>Urgencia Adulto</v>
          </cell>
          <cell r="I926" t="str">
            <v>Adquirido</v>
          </cell>
          <cell r="J926" t="str">
            <v>Drager</v>
          </cell>
          <cell r="K926" t="str">
            <v>Vista 120</v>
          </cell>
          <cell r="L926" t="str">
            <v>VGSRC0543</v>
          </cell>
          <cell r="M926">
            <v>2023</v>
          </cell>
          <cell r="N926">
            <v>8</v>
          </cell>
          <cell r="O926" t="str">
            <v>Invasivo</v>
          </cell>
          <cell r="R926" t="str">
            <v>Semestral</v>
          </cell>
        </row>
        <row r="927">
          <cell r="C927">
            <v>574</v>
          </cell>
          <cell r="D927" t="str">
            <v>2-124850</v>
          </cell>
          <cell r="E927" t="str">
            <v>Monitor Multiparámetros</v>
          </cell>
          <cell r="F927" t="str">
            <v>Urgencia Adulto</v>
          </cell>
          <cell r="G927" t="str">
            <v>Urgencia Adulto</v>
          </cell>
          <cell r="I927" t="str">
            <v>Adquirido</v>
          </cell>
          <cell r="J927" t="str">
            <v>Drager</v>
          </cell>
          <cell r="K927" t="str">
            <v>Vista 120</v>
          </cell>
          <cell r="L927" t="str">
            <v>VGSRC0538</v>
          </cell>
          <cell r="M927">
            <v>2023</v>
          </cell>
          <cell r="N927">
            <v>8</v>
          </cell>
          <cell r="O927" t="str">
            <v>Invasivo</v>
          </cell>
          <cell r="R927" t="str">
            <v>Semestral</v>
          </cell>
        </row>
        <row r="928">
          <cell r="C928">
            <v>575</v>
          </cell>
          <cell r="D928" t="str">
            <v>2-133676</v>
          </cell>
          <cell r="E928" t="str">
            <v>Monitor Multiparámetros</v>
          </cell>
          <cell r="F928" t="str">
            <v>CDT</v>
          </cell>
          <cell r="G928" t="str">
            <v>CDT-P1</v>
          </cell>
          <cell r="H928" t="str">
            <v>CDT Administracion / CEM 3ER PISO</v>
          </cell>
          <cell r="I928" t="str">
            <v>Adquirido</v>
          </cell>
          <cell r="J928" t="str">
            <v>Northern</v>
          </cell>
          <cell r="K928" t="str">
            <v>Aquarius ECG</v>
          </cell>
          <cell r="L928" t="str">
            <v>JH01B910008</v>
          </cell>
          <cell r="M928">
            <v>2024</v>
          </cell>
          <cell r="N928">
            <v>9</v>
          </cell>
          <cell r="O928" t="str">
            <v>Invasivo</v>
          </cell>
          <cell r="Q928" t="str">
            <v>24 meses de garant√≠a desde 30-12-24. 1 MP al a√±o</v>
          </cell>
          <cell r="R928" t="str">
            <v>Semestral</v>
          </cell>
        </row>
        <row r="929">
          <cell r="C929">
            <v>576</v>
          </cell>
          <cell r="D929" t="str">
            <v>2-133677</v>
          </cell>
          <cell r="E929" t="str">
            <v>Monitor Multiparámetros</v>
          </cell>
          <cell r="F929" t="str">
            <v>CDT</v>
          </cell>
          <cell r="G929" t="str">
            <v>CDT-P1</v>
          </cell>
          <cell r="H929" t="str">
            <v>CDT Administracion / Seran reubicados</v>
          </cell>
          <cell r="I929" t="str">
            <v>Adquirido</v>
          </cell>
          <cell r="J929" t="str">
            <v>Northern</v>
          </cell>
          <cell r="K929" t="str">
            <v>Aquarius ECG</v>
          </cell>
          <cell r="L929" t="str">
            <v>JH01B910020</v>
          </cell>
          <cell r="M929">
            <v>2024</v>
          </cell>
          <cell r="N929">
            <v>9</v>
          </cell>
          <cell r="O929" t="str">
            <v>Invasivo</v>
          </cell>
          <cell r="Q929" t="str">
            <v>24 meses de garant√≠a desde 30-12-24. 1 MP al a√±o</v>
          </cell>
          <cell r="R929" t="str">
            <v>Semestral</v>
          </cell>
        </row>
        <row r="930">
          <cell r="C930">
            <v>577</v>
          </cell>
          <cell r="D930" t="str">
            <v>2-133678</v>
          </cell>
          <cell r="E930" t="str">
            <v>Monitor Multiparámetros</v>
          </cell>
          <cell r="F930" t="str">
            <v>CDT</v>
          </cell>
          <cell r="G930" t="str">
            <v>CDT-P1</v>
          </cell>
          <cell r="H930" t="str">
            <v>CDT Administracion / CEM 3ER PISO</v>
          </cell>
          <cell r="I930" t="str">
            <v>Adquirido</v>
          </cell>
          <cell r="J930" t="str">
            <v>Northern</v>
          </cell>
          <cell r="K930" t="str">
            <v>Aquarius ECG</v>
          </cell>
          <cell r="L930" t="str">
            <v>JH01B910011</v>
          </cell>
          <cell r="M930">
            <v>2024</v>
          </cell>
          <cell r="N930">
            <v>9</v>
          </cell>
          <cell r="O930" t="str">
            <v>Invasivo</v>
          </cell>
          <cell r="Q930" t="str">
            <v>24 meses de garant√≠a desde 30-12-24. 1 MP al a√±o</v>
          </cell>
          <cell r="R930" t="str">
            <v>Semestral</v>
          </cell>
        </row>
        <row r="931">
          <cell r="C931">
            <v>578</v>
          </cell>
          <cell r="D931" t="str">
            <v>2-133679</v>
          </cell>
          <cell r="E931" t="str">
            <v>Monitor Multiparámetros</v>
          </cell>
          <cell r="F931" t="str">
            <v>CDT</v>
          </cell>
          <cell r="G931" t="str">
            <v>CDT-P1</v>
          </cell>
          <cell r="H931" t="str">
            <v>CDT Administracion / Seran reubicados</v>
          </cell>
          <cell r="I931" t="str">
            <v>Adquirido</v>
          </cell>
          <cell r="J931" t="str">
            <v>Northern</v>
          </cell>
          <cell r="K931" t="str">
            <v>Aquarius ECG</v>
          </cell>
          <cell r="L931" t="str">
            <v>JH01B910002</v>
          </cell>
          <cell r="M931">
            <v>2024</v>
          </cell>
          <cell r="N931">
            <v>9</v>
          </cell>
          <cell r="O931" t="str">
            <v>Invasivo</v>
          </cell>
          <cell r="Q931" t="str">
            <v>24 meses de garant√≠a desde 30-12-24. 1 MP al a√±o</v>
          </cell>
          <cell r="R931" t="str">
            <v>Semestral</v>
          </cell>
        </row>
        <row r="932">
          <cell r="C932">
            <v>1</v>
          </cell>
          <cell r="D932" t="str">
            <v>N/A</v>
          </cell>
          <cell r="E932" t="str">
            <v>Máquina Diálisis</v>
          </cell>
          <cell r="F932" t="str">
            <v>UPC Pediátrica</v>
          </cell>
          <cell r="I932" t="str">
            <v>Prestamo Hospital Base San José de Osorno</v>
          </cell>
          <cell r="J932" t="str">
            <v>Gambro</v>
          </cell>
          <cell r="K932" t="str">
            <v>PRISMAFLEX</v>
          </cell>
          <cell r="L932" t="str">
            <v>PA16283</v>
          </cell>
          <cell r="M932">
            <v>2025</v>
          </cell>
          <cell r="N932">
            <v>10</v>
          </cell>
          <cell r="Q932" t="str">
            <v>Con fecha 29-10-2025 equipo es devuelto al hospital san jose de osorono baja</v>
          </cell>
        </row>
        <row r="933">
          <cell r="C933">
            <v>2</v>
          </cell>
          <cell r="E933" t="str">
            <v>Máquina Diálisis</v>
          </cell>
          <cell r="N933" t="str">
            <v>Disponible</v>
          </cell>
        </row>
        <row r="934">
          <cell r="C934">
            <v>3</v>
          </cell>
          <cell r="E934" t="str">
            <v>Máquina Diálisis</v>
          </cell>
          <cell r="N934" t="str">
            <v>Disponible</v>
          </cell>
        </row>
        <row r="935">
          <cell r="C935">
            <v>4</v>
          </cell>
          <cell r="E935" t="str">
            <v>Máquina Diálisis</v>
          </cell>
          <cell r="N935" t="str">
            <v>Disponible</v>
          </cell>
        </row>
        <row r="936">
          <cell r="C936">
            <v>5</v>
          </cell>
          <cell r="D936" t="str">
            <v>2-006455</v>
          </cell>
          <cell r="E936" t="str">
            <v>Máquina Diálisis</v>
          </cell>
          <cell r="F936" t="str">
            <v>Hemodiálisis</v>
          </cell>
          <cell r="G936" t="str">
            <v>Hemodiálisis</v>
          </cell>
          <cell r="H936" t="str">
            <v>EPB-P1</v>
          </cell>
          <cell r="I936" t="str">
            <v>Adquirido</v>
          </cell>
          <cell r="J936" t="str">
            <v>Fresenius</v>
          </cell>
          <cell r="K936" t="str">
            <v>4008B(s)</v>
          </cell>
          <cell r="L936" t="str">
            <v>8VCAJN47</v>
          </cell>
          <cell r="M936">
            <v>2008</v>
          </cell>
          <cell r="N936">
            <v>-7</v>
          </cell>
          <cell r="Q936" t="str">
            <v>El equipo 2-006455 tiene asociada la solicitud N° 2025-121109-19-20184, de fecha 18-11-2025, cuyo requerimiento corresponde a la reparación de una máquina de hemodiálisis para pacientes en terapia dialítica, marca Fresenius.
Con fecha 20-11-2025, se redacta el Informe Técnico N° 861. ST</v>
          </cell>
          <cell r="R936" t="str">
            <v>Semestral</v>
          </cell>
        </row>
        <row r="937">
          <cell r="C937">
            <v>6</v>
          </cell>
          <cell r="D937" t="str">
            <v>2-006460</v>
          </cell>
          <cell r="E937" t="str">
            <v>Máquina Diálisis</v>
          </cell>
          <cell r="F937" t="str">
            <v>Hemodiálisis</v>
          </cell>
          <cell r="G937" t="str">
            <v>Hemodiálisis</v>
          </cell>
          <cell r="H937" t="str">
            <v>EPB-P1</v>
          </cell>
          <cell r="I937" t="str">
            <v>Adquirido</v>
          </cell>
          <cell r="J937" t="str">
            <v>Fresenius</v>
          </cell>
          <cell r="K937" t="str">
            <v>4008B(s)</v>
          </cell>
          <cell r="L937" t="str">
            <v>9VCAPR03</v>
          </cell>
          <cell r="M937">
            <v>2009</v>
          </cell>
          <cell r="N937">
            <v>-6</v>
          </cell>
          <cell r="Q937" t="str">
            <v>El equipo 2-006460 tiene asociada la solicitud N° 2025-121109-19-20185, de fecha 18-11-2025, cuyo requerimiento corresponde a la reparación de una máquina de hemodiálisis para pacientes en terapia dialítica, marca Fresenius. ST</v>
          </cell>
          <cell r="R937" t="str">
            <v>Semestral</v>
          </cell>
        </row>
        <row r="938">
          <cell r="C938">
            <v>7</v>
          </cell>
          <cell r="E938" t="str">
            <v>Máquina Diálisis</v>
          </cell>
          <cell r="N938" t="str">
            <v>Disponible</v>
          </cell>
        </row>
        <row r="939">
          <cell r="C939">
            <v>8</v>
          </cell>
          <cell r="D939" t="str">
            <v>2-113999</v>
          </cell>
          <cell r="E939" t="str">
            <v>Máquina Diálisis</v>
          </cell>
          <cell r="F939" t="str">
            <v>UPC Adulto</v>
          </cell>
          <cell r="I939" t="str">
            <v>Adquirido</v>
          </cell>
          <cell r="J939" t="str">
            <v>Fresenius</v>
          </cell>
          <cell r="K939" t="str">
            <v>4008B(s)</v>
          </cell>
          <cell r="L939" t="str">
            <v>8VCAJN39</v>
          </cell>
          <cell r="M939">
            <v>2005</v>
          </cell>
          <cell r="N939">
            <v>-10</v>
          </cell>
          <cell r="Q939" t="str">
            <v>Mantención preventiva realizada, equipo operativo</v>
          </cell>
          <cell r="R939" t="str">
            <v>Semestral</v>
          </cell>
        </row>
        <row r="940">
          <cell r="C940">
            <v>9</v>
          </cell>
          <cell r="D940" t="str">
            <v>2-013581</v>
          </cell>
          <cell r="E940" t="str">
            <v>Máquina Diálisis</v>
          </cell>
          <cell r="F940" t="str">
            <v>UPC Adulto</v>
          </cell>
          <cell r="I940" t="str">
            <v>Adquirido</v>
          </cell>
          <cell r="J940" t="str">
            <v>Braun</v>
          </cell>
          <cell r="K940" t="str">
            <v>Diapact</v>
          </cell>
          <cell r="L940">
            <v>1671</v>
          </cell>
          <cell r="M940">
            <v>2010</v>
          </cell>
          <cell r="N940">
            <v>-5</v>
          </cell>
          <cell r="Q940" t="str">
            <v>Equipo es dado de baja 20-02-25. Vida util cumplida</v>
          </cell>
          <cell r="R940" t="str">
            <v>Semestral</v>
          </cell>
        </row>
        <row r="941">
          <cell r="C941">
            <v>10</v>
          </cell>
          <cell r="D941" t="str">
            <v>2-110561</v>
          </cell>
          <cell r="E941" t="str">
            <v>Máquina Diálisis</v>
          </cell>
          <cell r="F941" t="str">
            <v>UPC Adulto</v>
          </cell>
          <cell r="I941" t="str">
            <v>Adquirido</v>
          </cell>
          <cell r="J941" t="str">
            <v>Braun</v>
          </cell>
          <cell r="K941" t="str">
            <v>Diapact</v>
          </cell>
          <cell r="L941">
            <v>3117</v>
          </cell>
          <cell r="M941">
            <v>2014</v>
          </cell>
          <cell r="N941">
            <v>-1</v>
          </cell>
          <cell r="Q941" t="str">
            <v>Equipo es dado de baja 20-02-25. Vida util cumplida</v>
          </cell>
          <cell r="R941" t="str">
            <v>Semestral</v>
          </cell>
        </row>
        <row r="942">
          <cell r="C942">
            <v>11</v>
          </cell>
          <cell r="D942" t="str">
            <v>2-113862</v>
          </cell>
          <cell r="E942" t="str">
            <v>Máquina Diálisis</v>
          </cell>
          <cell r="F942" t="str">
            <v>UPC Adulto</v>
          </cell>
          <cell r="I942" t="str">
            <v>Adquirido</v>
          </cell>
          <cell r="J942" t="str">
            <v>Braun</v>
          </cell>
          <cell r="K942" t="str">
            <v>Diapact</v>
          </cell>
          <cell r="L942">
            <v>1711</v>
          </cell>
          <cell r="M942">
            <v>2010</v>
          </cell>
          <cell r="N942">
            <v>-5</v>
          </cell>
          <cell r="Q942" t="str">
            <v>Equipo es dado de baja 20-02-25. Vida util cumplida</v>
          </cell>
          <cell r="R942" t="str">
            <v>Semestral</v>
          </cell>
        </row>
        <row r="943">
          <cell r="C943">
            <v>12</v>
          </cell>
          <cell r="D943" t="str">
            <v>2-133198</v>
          </cell>
          <cell r="E943" t="str">
            <v>Máquina Diálisis</v>
          </cell>
          <cell r="F943" t="str">
            <v>UPC Adulto</v>
          </cell>
          <cell r="I943" t="str">
            <v>Arriendo</v>
          </cell>
          <cell r="J943" t="str">
            <v>Fresenius</v>
          </cell>
          <cell r="K943" t="str">
            <v>MultiFiltrate PRO</v>
          </cell>
          <cell r="L943" t="str">
            <v>2FTG6886</v>
          </cell>
          <cell r="M943">
            <v>2024</v>
          </cell>
          <cell r="N943">
            <v>9</v>
          </cell>
          <cell r="Q943" t="str">
            <v>Garant√≠a de 12 meses a partir del 21-10-24, 3 MP al a√±o</v>
          </cell>
          <cell r="R943" t="str">
            <v>Semestral</v>
          </cell>
        </row>
        <row r="944">
          <cell r="C944">
            <v>13</v>
          </cell>
          <cell r="D944" t="str">
            <v>2-133199</v>
          </cell>
          <cell r="E944" t="str">
            <v>Máquina Diálisis</v>
          </cell>
          <cell r="F944" t="str">
            <v>UPC Adulto</v>
          </cell>
          <cell r="I944" t="str">
            <v>Arriendo</v>
          </cell>
          <cell r="J944" t="str">
            <v>Fresenius</v>
          </cell>
          <cell r="K944" t="str">
            <v>MultiFiltrate PRO</v>
          </cell>
          <cell r="L944" t="str">
            <v>2FTG6885</v>
          </cell>
          <cell r="M944">
            <v>2024</v>
          </cell>
          <cell r="N944">
            <v>9</v>
          </cell>
          <cell r="Q944" t="str">
            <v>Garant√≠a de 12 meses a partir del 21-10-24, 3 MP al a√±o</v>
          </cell>
          <cell r="R944" t="str">
            <v>Semestral</v>
          </cell>
        </row>
        <row r="945">
          <cell r="C945">
            <v>14</v>
          </cell>
          <cell r="D945" t="str">
            <v>2-133200</v>
          </cell>
          <cell r="E945" t="str">
            <v>Máquina Diálisis</v>
          </cell>
          <cell r="F945" t="str">
            <v>UPC Adulto</v>
          </cell>
          <cell r="I945" t="str">
            <v>Arriendo</v>
          </cell>
          <cell r="J945" t="str">
            <v>Fresenius</v>
          </cell>
          <cell r="K945" t="str">
            <v>MultiFiltrate PRO</v>
          </cell>
          <cell r="L945" t="str">
            <v>2FTG6884</v>
          </cell>
          <cell r="M945">
            <v>2024</v>
          </cell>
          <cell r="N945">
            <v>9</v>
          </cell>
          <cell r="Q945" t="str">
            <v>Garant√≠a de 12 meses a partir del 21-10-24, 3 MP al a√±o Equipo con bloqueo de pantalla</v>
          </cell>
          <cell r="R945" t="str">
            <v>Semestral</v>
          </cell>
        </row>
        <row r="946">
          <cell r="C946">
            <v>15</v>
          </cell>
          <cell r="E946" t="str">
            <v>Máquina Diálisis</v>
          </cell>
          <cell r="N946" t="str">
            <v>Disponible</v>
          </cell>
        </row>
        <row r="947">
          <cell r="C947">
            <v>16</v>
          </cell>
          <cell r="E947" t="str">
            <v>Máquina Diálisis</v>
          </cell>
          <cell r="N947" t="str">
            <v>Disponible</v>
          </cell>
        </row>
        <row r="948">
          <cell r="C948">
            <v>17</v>
          </cell>
          <cell r="E948" t="str">
            <v>Máquina Diálisis</v>
          </cell>
          <cell r="N948" t="str">
            <v>Disponible</v>
          </cell>
        </row>
        <row r="949">
          <cell r="C949">
            <v>18</v>
          </cell>
          <cell r="E949" t="str">
            <v>Máquina Diálisis</v>
          </cell>
          <cell r="N949" t="str">
            <v>Disponible</v>
          </cell>
        </row>
        <row r="950">
          <cell r="C950">
            <v>19</v>
          </cell>
          <cell r="D950" t="str">
            <v>2-006456</v>
          </cell>
          <cell r="E950" t="str">
            <v>Máquina Diálisis</v>
          </cell>
          <cell r="F950" t="str">
            <v>Hemodiálisis</v>
          </cell>
          <cell r="G950" t="str">
            <v>Hemodiálisis</v>
          </cell>
          <cell r="H950" t="str">
            <v>EPB-P1</v>
          </cell>
          <cell r="I950" t="str">
            <v>Adquirido</v>
          </cell>
          <cell r="J950" t="str">
            <v>Fresenius</v>
          </cell>
          <cell r="K950" t="str">
            <v>4008B</v>
          </cell>
          <cell r="L950" t="str">
            <v>OV5APR17</v>
          </cell>
          <cell r="M950">
            <v>2012</v>
          </cell>
          <cell r="N950">
            <v>-3</v>
          </cell>
          <cell r="R950" t="str">
            <v>Semestral</v>
          </cell>
        </row>
        <row r="951">
          <cell r="C951">
            <v>20</v>
          </cell>
          <cell r="D951" t="str">
            <v>2-016016</v>
          </cell>
          <cell r="E951" t="str">
            <v>Máquina Diálisis</v>
          </cell>
          <cell r="F951" t="str">
            <v>UPC Pediátrica</v>
          </cell>
          <cell r="G951" t="str">
            <v>UCI Pediátrica</v>
          </cell>
          <cell r="I951" t="str">
            <v>Adquirido</v>
          </cell>
          <cell r="J951" t="str">
            <v>Gambro</v>
          </cell>
          <cell r="K951" t="str">
            <v>Prismaflex</v>
          </cell>
          <cell r="L951" t="str">
            <v>PA10283</v>
          </cell>
          <cell r="M951">
            <v>2013</v>
          </cell>
          <cell r="N951">
            <v>-2</v>
          </cell>
          <cell r="R951" t="str">
            <v>Semestral</v>
          </cell>
        </row>
        <row r="952">
          <cell r="C952">
            <v>21</v>
          </cell>
          <cell r="D952" t="str">
            <v>2-013586</v>
          </cell>
          <cell r="E952" t="str">
            <v>Máquina Diálisis</v>
          </cell>
          <cell r="F952" t="str">
            <v>UPC Adulto</v>
          </cell>
          <cell r="I952" t="str">
            <v>Adquirido</v>
          </cell>
          <cell r="J952" t="str">
            <v>Fresenius</v>
          </cell>
          <cell r="K952" t="str">
            <v>4008S</v>
          </cell>
          <cell r="L952" t="str">
            <v>5SXAEL56</v>
          </cell>
          <cell r="M952">
            <v>2016</v>
          </cell>
          <cell r="N952">
            <v>1</v>
          </cell>
          <cell r="Q952" t="str">
            <v>Equipo con alarma TEC OCM operativa</v>
          </cell>
          <cell r="R952" t="str">
            <v>Semestral</v>
          </cell>
        </row>
        <row r="953">
          <cell r="C953">
            <v>22</v>
          </cell>
          <cell r="D953" t="str">
            <v>2-111213</v>
          </cell>
          <cell r="E953" t="str">
            <v>Máquina Diálisis</v>
          </cell>
          <cell r="F953" t="str">
            <v>UPC Adulto</v>
          </cell>
          <cell r="I953" t="str">
            <v>Adquirido</v>
          </cell>
          <cell r="J953" t="str">
            <v>Fresenius</v>
          </cell>
          <cell r="K953" t="str">
            <v>4008S</v>
          </cell>
          <cell r="L953" t="str">
            <v>5SXAEL57</v>
          </cell>
          <cell r="M953">
            <v>2016</v>
          </cell>
          <cell r="N953">
            <v>1</v>
          </cell>
          <cell r="Q953" t="str">
            <v>equipo reparado</v>
          </cell>
          <cell r="R953" t="str">
            <v>Semestral</v>
          </cell>
        </row>
        <row r="954">
          <cell r="C954">
            <v>23</v>
          </cell>
          <cell r="D954" t="str">
            <v>2-027619</v>
          </cell>
          <cell r="E954" t="str">
            <v>Máquina Diálisis</v>
          </cell>
          <cell r="F954" t="str">
            <v>UPC Adulto</v>
          </cell>
          <cell r="I954" t="str">
            <v>Adquirido</v>
          </cell>
          <cell r="J954" t="str">
            <v>Fresenius</v>
          </cell>
          <cell r="K954" t="str">
            <v>4008S</v>
          </cell>
          <cell r="L954" t="str">
            <v>5SXAEL58</v>
          </cell>
          <cell r="M954">
            <v>2016</v>
          </cell>
          <cell r="N954">
            <v>1</v>
          </cell>
          <cell r="Q954" t="str">
            <v>Equipo con tapa de camara venosa quebrada</v>
          </cell>
          <cell r="R954" t="str">
            <v>Semestral</v>
          </cell>
        </row>
        <row r="955">
          <cell r="C955">
            <v>24</v>
          </cell>
          <cell r="D955" t="str">
            <v>N/A</v>
          </cell>
          <cell r="E955" t="str">
            <v>Máquina Diálisis</v>
          </cell>
          <cell r="F955" t="str">
            <v>UPC Adulto</v>
          </cell>
          <cell r="I955" t="str">
            <v>Backup</v>
          </cell>
          <cell r="J955" t="str">
            <v>Fresenius</v>
          </cell>
          <cell r="K955" t="str">
            <v>MultiFiltrate PRO</v>
          </cell>
          <cell r="L955" t="str">
            <v>0FTG3658</v>
          </cell>
          <cell r="M955">
            <v>2025</v>
          </cell>
          <cell r="N955">
            <v>10</v>
          </cell>
          <cell r="Q955" t="str">
            <v>Equipo es devuelto a la empresa el 11/12/2025 baja</v>
          </cell>
          <cell r="R955" t="str">
            <v>Semestral</v>
          </cell>
        </row>
        <row r="956">
          <cell r="C956">
            <v>25</v>
          </cell>
          <cell r="E956" t="str">
            <v>Máquina Diálisis</v>
          </cell>
          <cell r="N956" t="str">
            <v>Disponible</v>
          </cell>
        </row>
        <row r="957">
          <cell r="C957">
            <v>26</v>
          </cell>
          <cell r="E957" t="str">
            <v>Máquina Diálisis</v>
          </cell>
          <cell r="N957" t="str">
            <v>Disponible</v>
          </cell>
        </row>
        <row r="958">
          <cell r="C958">
            <v>27</v>
          </cell>
          <cell r="E958" t="str">
            <v>Máquina Diálisis</v>
          </cell>
          <cell r="N958" t="str">
            <v>Disponible</v>
          </cell>
        </row>
        <row r="959">
          <cell r="C959">
            <v>28</v>
          </cell>
          <cell r="E959" t="str">
            <v>Máquina Diálisis</v>
          </cell>
          <cell r="N959" t="str">
            <v>Disponible</v>
          </cell>
        </row>
        <row r="960">
          <cell r="C960">
            <v>29</v>
          </cell>
          <cell r="E960" t="str">
            <v>Máquina Diálisis</v>
          </cell>
          <cell r="N960" t="str">
            <v>Disponible</v>
          </cell>
        </row>
        <row r="961">
          <cell r="C961">
            <v>30</v>
          </cell>
          <cell r="D961" t="str">
            <v>2-128041</v>
          </cell>
          <cell r="E961" t="str">
            <v>Máquina Diálisis</v>
          </cell>
          <cell r="F961" t="str">
            <v>Hemodiálisis</v>
          </cell>
          <cell r="G961" t="str">
            <v>Hemodiálisis</v>
          </cell>
          <cell r="I961" t="str">
            <v>Adquirido</v>
          </cell>
          <cell r="J961" t="str">
            <v>Fresenius</v>
          </cell>
          <cell r="K961" t="str">
            <v>4008S</v>
          </cell>
          <cell r="L961" t="str">
            <v>3SXA4HC6</v>
          </cell>
          <cell r="M961">
            <v>2023</v>
          </cell>
          <cell r="N961">
            <v>8</v>
          </cell>
          <cell r="R961" t="str">
            <v>Semestral</v>
          </cell>
        </row>
        <row r="962">
          <cell r="C962">
            <v>31</v>
          </cell>
          <cell r="D962" t="str">
            <v>2-128043</v>
          </cell>
          <cell r="E962" t="str">
            <v>Máquina Diálisis</v>
          </cell>
          <cell r="F962" t="str">
            <v>Hemodiálisis</v>
          </cell>
          <cell r="G962" t="str">
            <v>Hemodiálisis</v>
          </cell>
          <cell r="I962" t="str">
            <v>Adquirido</v>
          </cell>
          <cell r="J962" t="str">
            <v>Fresenius</v>
          </cell>
          <cell r="K962" t="str">
            <v>4008S</v>
          </cell>
          <cell r="L962" t="str">
            <v>3SXA4HC2</v>
          </cell>
          <cell r="M962">
            <v>2023</v>
          </cell>
          <cell r="N962">
            <v>8</v>
          </cell>
          <cell r="R962" t="str">
            <v>Semestral</v>
          </cell>
        </row>
        <row r="963">
          <cell r="C963">
            <v>32</v>
          </cell>
          <cell r="D963" t="str">
            <v>2-128044</v>
          </cell>
          <cell r="E963" t="str">
            <v>Máquina Diálisis</v>
          </cell>
          <cell r="F963" t="str">
            <v>Hemodiálisis</v>
          </cell>
          <cell r="G963" t="str">
            <v>Hemodiálisis</v>
          </cell>
          <cell r="I963" t="str">
            <v>Adquirido</v>
          </cell>
          <cell r="J963" t="str">
            <v>Fresenius</v>
          </cell>
          <cell r="K963" t="str">
            <v>4008S</v>
          </cell>
          <cell r="L963" t="str">
            <v>3SXA4HDK</v>
          </cell>
          <cell r="M963">
            <v>2023</v>
          </cell>
          <cell r="N963">
            <v>8</v>
          </cell>
          <cell r="R963" t="str">
            <v>Semestral</v>
          </cell>
        </row>
        <row r="964">
          <cell r="C964">
            <v>33</v>
          </cell>
          <cell r="D964" t="str">
            <v>2-128045</v>
          </cell>
          <cell r="E964" t="str">
            <v>Máquina Diálisis</v>
          </cell>
          <cell r="F964" t="str">
            <v>Hemodiálisis</v>
          </cell>
          <cell r="G964" t="str">
            <v>Hemodiálisis</v>
          </cell>
          <cell r="I964" t="str">
            <v>Adquirido</v>
          </cell>
          <cell r="J964" t="str">
            <v>Fresenius</v>
          </cell>
          <cell r="K964" t="str">
            <v>4008S</v>
          </cell>
          <cell r="L964" t="str">
            <v>3SXA4HDJ</v>
          </cell>
          <cell r="M964">
            <v>2023</v>
          </cell>
          <cell r="N964">
            <v>8</v>
          </cell>
          <cell r="R964" t="str">
            <v>Semestral</v>
          </cell>
        </row>
        <row r="965">
          <cell r="C965">
            <v>34</v>
          </cell>
          <cell r="D965" t="str">
            <v>2-128046</v>
          </cell>
          <cell r="E965" t="str">
            <v>Máquina Diálisis</v>
          </cell>
          <cell r="F965" t="str">
            <v>Hemodiálisis</v>
          </cell>
          <cell r="G965" t="str">
            <v>Hemodiálisis</v>
          </cell>
          <cell r="I965" t="str">
            <v>Adquirido</v>
          </cell>
          <cell r="J965" t="str">
            <v>Fresenius</v>
          </cell>
          <cell r="K965" t="str">
            <v>4008S</v>
          </cell>
          <cell r="L965" t="str">
            <v>3SXA4HD0</v>
          </cell>
          <cell r="M965">
            <v>2023</v>
          </cell>
          <cell r="N965">
            <v>8</v>
          </cell>
          <cell r="R965" t="str">
            <v>Semestral</v>
          </cell>
        </row>
        <row r="966">
          <cell r="C966">
            <v>35</v>
          </cell>
          <cell r="D966" t="str">
            <v>2-128047</v>
          </cell>
          <cell r="E966" t="str">
            <v>Máquina Diálisis</v>
          </cell>
          <cell r="F966" t="str">
            <v>Hemodiálisis</v>
          </cell>
          <cell r="G966" t="str">
            <v>Hemodiálisis</v>
          </cell>
          <cell r="I966" t="str">
            <v>Adquirido</v>
          </cell>
          <cell r="J966" t="str">
            <v>Fresenius</v>
          </cell>
          <cell r="K966" t="str">
            <v>4008S</v>
          </cell>
          <cell r="L966" t="str">
            <v>3SXA4HD1</v>
          </cell>
          <cell r="M966">
            <v>2023</v>
          </cell>
          <cell r="N966">
            <v>8</v>
          </cell>
          <cell r="R966" t="str">
            <v>Semestral</v>
          </cell>
        </row>
        <row r="967">
          <cell r="C967">
            <v>36</v>
          </cell>
          <cell r="D967" t="str">
            <v>2-128048</v>
          </cell>
          <cell r="E967" t="str">
            <v>Máquina Diálisis</v>
          </cell>
          <cell r="F967" t="str">
            <v>Hemodiálisis</v>
          </cell>
          <cell r="G967" t="str">
            <v>Hemodiálisis</v>
          </cell>
          <cell r="I967" t="str">
            <v>Adquirido</v>
          </cell>
          <cell r="J967" t="str">
            <v>Fresenius</v>
          </cell>
          <cell r="K967" t="str">
            <v>4008S</v>
          </cell>
          <cell r="L967" t="str">
            <v>3SXA4HCJ</v>
          </cell>
          <cell r="M967">
            <v>2023</v>
          </cell>
          <cell r="N967">
            <v>8</v>
          </cell>
          <cell r="R967" t="str">
            <v>Semestral</v>
          </cell>
        </row>
        <row r="968">
          <cell r="C968">
            <v>37</v>
          </cell>
          <cell r="D968" t="str">
            <v>2-128050</v>
          </cell>
          <cell r="E968" t="str">
            <v>Máquina Diálisis</v>
          </cell>
          <cell r="F968" t="str">
            <v>Hemodiálisis</v>
          </cell>
          <cell r="G968" t="str">
            <v>Hemodiálisis</v>
          </cell>
          <cell r="I968" t="str">
            <v>Adquirido</v>
          </cell>
          <cell r="J968" t="str">
            <v>Fresenius</v>
          </cell>
          <cell r="K968" t="str">
            <v>4008S</v>
          </cell>
          <cell r="L968" t="str">
            <v>3SXA4HC9</v>
          </cell>
          <cell r="M968">
            <v>2023</v>
          </cell>
          <cell r="N968">
            <v>8</v>
          </cell>
          <cell r="R968" t="str">
            <v>Semestral</v>
          </cell>
        </row>
        <row r="969">
          <cell r="C969">
            <v>38</v>
          </cell>
          <cell r="D969" t="str">
            <v>2-128060</v>
          </cell>
          <cell r="E969" t="str">
            <v>Máquina Diálisis</v>
          </cell>
          <cell r="F969" t="str">
            <v>Hemodiálisis</v>
          </cell>
          <cell r="G969" t="str">
            <v>Hemodiálisis</v>
          </cell>
          <cell r="I969" t="str">
            <v>Adquirido</v>
          </cell>
          <cell r="J969" t="str">
            <v>Fresenius</v>
          </cell>
          <cell r="K969" t="str">
            <v>4008S</v>
          </cell>
          <cell r="L969" t="str">
            <v>3SXA4HC0</v>
          </cell>
          <cell r="M969">
            <v>2023</v>
          </cell>
          <cell r="N969">
            <v>8</v>
          </cell>
          <cell r="R969" t="str">
            <v>Semestral</v>
          </cell>
        </row>
        <row r="970">
          <cell r="C970">
            <v>39</v>
          </cell>
          <cell r="D970" t="str">
            <v>2-128062</v>
          </cell>
          <cell r="E970" t="str">
            <v>Máquina Diálisis</v>
          </cell>
          <cell r="F970" t="str">
            <v>UPC Adulto</v>
          </cell>
          <cell r="G970" t="str">
            <v>Sala diálisis infantil</v>
          </cell>
          <cell r="I970" t="str">
            <v>Adquirido</v>
          </cell>
          <cell r="J970" t="str">
            <v>Fresenius</v>
          </cell>
          <cell r="K970" t="str">
            <v>4008S</v>
          </cell>
          <cell r="L970" t="str">
            <v>3SXA4HCP</v>
          </cell>
          <cell r="M970">
            <v>2023</v>
          </cell>
          <cell r="N970">
            <v>8</v>
          </cell>
          <cell r="R970" t="str">
            <v>Semestral</v>
          </cell>
        </row>
        <row r="971">
          <cell r="C971">
            <v>40</v>
          </cell>
          <cell r="D971" t="str">
            <v>2-130653</v>
          </cell>
          <cell r="E971" t="str">
            <v>Máquina Diálisis</v>
          </cell>
          <cell r="F971" t="str">
            <v>Hemodiálisis</v>
          </cell>
          <cell r="G971" t="str">
            <v>Hemodiálisis</v>
          </cell>
          <cell r="I971" t="str">
            <v>Adquirido</v>
          </cell>
          <cell r="J971" t="str">
            <v>Fresenius</v>
          </cell>
          <cell r="K971" t="str">
            <v>5008S</v>
          </cell>
          <cell r="L971" t="str">
            <v>0VSANY78</v>
          </cell>
          <cell r="M971">
            <v>2023</v>
          </cell>
          <cell r="N971">
            <v>8</v>
          </cell>
          <cell r="R971" t="str">
            <v>Semestral</v>
          </cell>
        </row>
        <row r="972">
          <cell r="C972">
            <v>41</v>
          </cell>
          <cell r="D972" t="str">
            <v>2-130654</v>
          </cell>
          <cell r="E972" t="str">
            <v>Máquina Diálisis</v>
          </cell>
          <cell r="F972" t="str">
            <v>Hemodiálisis</v>
          </cell>
          <cell r="G972" t="str">
            <v>Hemodiálisis</v>
          </cell>
          <cell r="I972" t="str">
            <v>Adquirido</v>
          </cell>
          <cell r="J972" t="str">
            <v>Fresenius</v>
          </cell>
          <cell r="K972" t="str">
            <v>5008S</v>
          </cell>
          <cell r="L972" t="str">
            <v>9VSAMM17</v>
          </cell>
          <cell r="M972">
            <v>2023</v>
          </cell>
          <cell r="N972">
            <v>8</v>
          </cell>
          <cell r="R972" t="str">
            <v>Semestral</v>
          </cell>
        </row>
        <row r="973">
          <cell r="C973">
            <v>42</v>
          </cell>
          <cell r="D973" t="str">
            <v>2-130655</v>
          </cell>
          <cell r="E973" t="str">
            <v>Máquina Diálisis</v>
          </cell>
          <cell r="F973" t="str">
            <v>Hemodiálisis</v>
          </cell>
          <cell r="G973" t="str">
            <v>Hemodiálisis</v>
          </cell>
          <cell r="I973" t="str">
            <v>Adquirido</v>
          </cell>
          <cell r="J973" t="str">
            <v>Fresenius</v>
          </cell>
          <cell r="K973" t="str">
            <v>5008S</v>
          </cell>
          <cell r="L973" t="str">
            <v>9VSAMM15</v>
          </cell>
          <cell r="M973">
            <v>2023</v>
          </cell>
          <cell r="N973">
            <v>8</v>
          </cell>
          <cell r="R973" t="str">
            <v>Semestral</v>
          </cell>
        </row>
        <row r="980">
          <cell r="H980" t="str">
            <v xml:space="preserve"> </v>
          </cell>
          <cell r="Q980" t="str">
            <v xml:space="preserve"> 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4.emf"/><Relationship Id="rId4" Type="http://schemas.openxmlformats.org/officeDocument/2006/relationships/control" Target="../activeX/activeX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4.emf"/><Relationship Id="rId4" Type="http://schemas.openxmlformats.org/officeDocument/2006/relationships/control" Target="../activeX/activeX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50"/>
  </sheetPr>
  <dimension ref="B1:K16"/>
  <sheetViews>
    <sheetView workbookViewId="0">
      <selection activeCell="B12" sqref="B12:E12"/>
    </sheetView>
  </sheetViews>
  <sheetFormatPr baseColWidth="10" defaultRowHeight="15" x14ac:dyDescent="0.25"/>
  <cols>
    <col min="1" max="1" width="5.85546875" customWidth="1"/>
    <col min="2" max="2" width="21.28515625" customWidth="1"/>
    <col min="3" max="5" width="7.85546875" customWidth="1"/>
    <col min="6" max="8" width="6.42578125" customWidth="1"/>
    <col min="9" max="9" width="8.7109375" customWidth="1"/>
    <col min="10" max="11" width="13.7109375" customWidth="1"/>
  </cols>
  <sheetData>
    <row r="1" spans="2:11" ht="15.75" thickBot="1" x14ac:dyDescent="0.3"/>
    <row r="2" spans="2:11" ht="66.75" customHeight="1" thickBot="1" x14ac:dyDescent="0.3">
      <c r="B2" s="78"/>
      <c r="C2" s="180" t="s">
        <v>211</v>
      </c>
      <c r="D2" s="181"/>
      <c r="E2" s="181"/>
      <c r="F2" s="181"/>
      <c r="G2" s="181"/>
      <c r="H2" s="181"/>
      <c r="I2" s="182"/>
      <c r="J2" s="183"/>
      <c r="K2" s="184"/>
    </row>
    <row r="3" spans="2:11" x14ac:dyDescent="0.25">
      <c r="B3" s="185" t="s">
        <v>278</v>
      </c>
      <c r="C3" s="186"/>
      <c r="D3" s="186"/>
      <c r="E3" s="186"/>
      <c r="F3" s="186"/>
      <c r="G3" s="186"/>
      <c r="H3" s="186"/>
      <c r="I3" s="186"/>
      <c r="J3" s="186"/>
      <c r="K3" s="187"/>
    </row>
    <row r="4" spans="2:11" x14ac:dyDescent="0.25">
      <c r="B4" s="170" t="s">
        <v>265</v>
      </c>
      <c r="C4" s="171"/>
      <c r="D4" s="171"/>
      <c r="E4" s="171"/>
      <c r="F4" s="166"/>
      <c r="G4" s="166"/>
      <c r="H4" s="166"/>
      <c r="I4" s="168"/>
      <c r="J4" s="168"/>
      <c r="K4" s="169"/>
    </row>
    <row r="5" spans="2:11" x14ac:dyDescent="0.25">
      <c r="B5" s="170" t="s">
        <v>266</v>
      </c>
      <c r="C5" s="171"/>
      <c r="D5" s="171"/>
      <c r="E5" s="171"/>
      <c r="F5" s="166"/>
      <c r="G5" s="166"/>
      <c r="H5" s="166"/>
      <c r="I5" s="172"/>
      <c r="J5" s="172"/>
      <c r="K5" s="173"/>
    </row>
    <row r="6" spans="2:11" x14ac:dyDescent="0.25">
      <c r="B6" s="170" t="s">
        <v>267</v>
      </c>
      <c r="C6" s="171"/>
      <c r="D6" s="171"/>
      <c r="E6" s="171"/>
      <c r="F6" s="166"/>
      <c r="G6" s="166"/>
      <c r="H6" s="166"/>
      <c r="I6" s="172"/>
      <c r="J6" s="172"/>
      <c r="K6" s="173"/>
    </row>
    <row r="7" spans="2:11" x14ac:dyDescent="0.25">
      <c r="B7" s="170" t="s">
        <v>268</v>
      </c>
      <c r="C7" s="171"/>
      <c r="D7" s="171"/>
      <c r="E7" s="171"/>
      <c r="F7" s="166"/>
      <c r="G7" s="166"/>
      <c r="H7" s="166"/>
      <c r="I7" s="172"/>
      <c r="J7" s="172"/>
      <c r="K7" s="173"/>
    </row>
    <row r="8" spans="2:11" x14ac:dyDescent="0.25">
      <c r="B8" s="170" t="s">
        <v>269</v>
      </c>
      <c r="C8" s="171"/>
      <c r="D8" s="171"/>
      <c r="E8" s="171"/>
      <c r="F8" s="166"/>
      <c r="G8" s="166"/>
      <c r="H8" s="166"/>
      <c r="I8" s="172"/>
      <c r="J8" s="172"/>
      <c r="K8" s="173"/>
    </row>
    <row r="9" spans="2:11" x14ac:dyDescent="0.25">
      <c r="B9" s="170" t="s">
        <v>270</v>
      </c>
      <c r="C9" s="171"/>
      <c r="D9" s="171"/>
      <c r="E9" s="171"/>
      <c r="F9" s="166"/>
      <c r="G9" s="166"/>
      <c r="H9" s="166"/>
      <c r="I9" s="172"/>
      <c r="J9" s="172"/>
      <c r="K9" s="173"/>
    </row>
    <row r="10" spans="2:11" x14ac:dyDescent="0.25">
      <c r="B10" s="170" t="s">
        <v>271</v>
      </c>
      <c r="C10" s="171"/>
      <c r="D10" s="171"/>
      <c r="E10" s="171"/>
      <c r="F10" s="166"/>
      <c r="G10" s="166"/>
      <c r="H10" s="166"/>
      <c r="I10" s="172"/>
      <c r="J10" s="172"/>
      <c r="K10" s="173"/>
    </row>
    <row r="11" spans="2:11" x14ac:dyDescent="0.25">
      <c r="B11" s="170" t="s">
        <v>272</v>
      </c>
      <c r="C11" s="171"/>
      <c r="D11" s="171"/>
      <c r="E11" s="171"/>
      <c r="F11" s="166"/>
      <c r="G11" s="166"/>
      <c r="H11" s="166"/>
      <c r="I11" s="172"/>
      <c r="J11" s="172"/>
      <c r="K11" s="173"/>
    </row>
    <row r="12" spans="2:11" x14ac:dyDescent="0.25">
      <c r="B12" s="170" t="s">
        <v>273</v>
      </c>
      <c r="C12" s="171"/>
      <c r="D12" s="171"/>
      <c r="E12" s="171"/>
      <c r="F12" s="166"/>
      <c r="G12" s="166"/>
      <c r="H12" s="166"/>
      <c r="I12" s="172"/>
      <c r="J12" s="172"/>
      <c r="K12" s="173"/>
    </row>
    <row r="13" spans="2:11" x14ac:dyDescent="0.25">
      <c r="B13" s="170" t="s">
        <v>274</v>
      </c>
      <c r="C13" s="171"/>
      <c r="D13" s="171"/>
      <c r="E13" s="171"/>
      <c r="F13" s="166"/>
      <c r="G13" s="166"/>
      <c r="H13" s="166"/>
      <c r="I13" s="178"/>
      <c r="J13" s="178"/>
      <c r="K13" s="179"/>
    </row>
    <row r="14" spans="2:11" x14ac:dyDescent="0.25">
      <c r="B14" s="170" t="s">
        <v>275</v>
      </c>
      <c r="C14" s="171"/>
      <c r="D14" s="171"/>
      <c r="E14" s="171"/>
      <c r="F14" s="166"/>
      <c r="G14" s="166"/>
      <c r="H14" s="166"/>
      <c r="I14" s="172"/>
      <c r="J14" s="172"/>
      <c r="K14" s="173"/>
    </row>
    <row r="15" spans="2:11" x14ac:dyDescent="0.25">
      <c r="B15" s="170" t="s">
        <v>276</v>
      </c>
      <c r="C15" s="171"/>
      <c r="D15" s="171"/>
      <c r="E15" s="171"/>
      <c r="F15" s="166"/>
      <c r="G15" s="166"/>
      <c r="H15" s="166"/>
      <c r="I15" s="172"/>
      <c r="J15" s="172"/>
      <c r="K15" s="173"/>
    </row>
    <row r="16" spans="2:11" ht="15.75" thickBot="1" x14ac:dyDescent="0.3">
      <c r="B16" s="174" t="s">
        <v>277</v>
      </c>
      <c r="C16" s="175"/>
      <c r="D16" s="175"/>
      <c r="E16" s="175"/>
      <c r="F16" s="167"/>
      <c r="G16" s="167"/>
      <c r="H16" s="167"/>
      <c r="I16" s="176"/>
      <c r="J16" s="176"/>
      <c r="K16" s="177"/>
    </row>
  </sheetData>
  <mergeCells count="28">
    <mergeCell ref="C2:I2"/>
    <mergeCell ref="J2:K2"/>
    <mergeCell ref="B3:K3"/>
    <mergeCell ref="B4:E4"/>
    <mergeCell ref="B5:E5"/>
    <mergeCell ref="I5:K5"/>
    <mergeCell ref="B6:E6"/>
    <mergeCell ref="I6:K6"/>
    <mergeCell ref="B7:E7"/>
    <mergeCell ref="I7:K7"/>
    <mergeCell ref="B8:E8"/>
    <mergeCell ref="I8:K8"/>
    <mergeCell ref="B9:E9"/>
    <mergeCell ref="I9:K9"/>
    <mergeCell ref="B10:E10"/>
    <mergeCell ref="I10:K10"/>
    <mergeCell ref="B11:E11"/>
    <mergeCell ref="I11:K11"/>
    <mergeCell ref="B15:E15"/>
    <mergeCell ref="I15:K15"/>
    <mergeCell ref="B16:E16"/>
    <mergeCell ref="I16:K16"/>
    <mergeCell ref="B12:E12"/>
    <mergeCell ref="I12:K12"/>
    <mergeCell ref="B13:E13"/>
    <mergeCell ref="I13:K13"/>
    <mergeCell ref="B14:E14"/>
    <mergeCell ref="I14:K14"/>
  </mergeCells>
  <hyperlinks>
    <hyperlink ref="B4:E4" location="Monitores!A1" display="Monitores" xr:uid="{00000000-0004-0000-0000-000000000000}"/>
    <hyperlink ref="B5:E5" location="Oximetro!A1" display="Oximetro" xr:uid="{00000000-0004-0000-0000-000001000000}"/>
    <hyperlink ref="B6:E6" location="DEA!A1" display="DEA" xr:uid="{00000000-0004-0000-0000-000002000000}"/>
    <hyperlink ref="B7:E7" location="Desfibriladores!A1" display="Desfibriladores" xr:uid="{00000000-0004-0000-0000-000003000000}"/>
    <hyperlink ref="B8:E8" location="'DEA-dia DEFIBTECH'!A1" display="DEA-dia DEFIBTECH" xr:uid="{00000000-0004-0000-0000-000004000000}"/>
    <hyperlink ref="B9:E9" location="'DEA 1-SAMU'!A1" display="DEA 1-SAMU" xr:uid="{00000000-0004-0000-0000-000005000000}"/>
    <hyperlink ref="B10:E10" location="'DEA 2-SAMU'!A1" display="DEA 2-SAMU" xr:uid="{00000000-0004-0000-0000-000006000000}"/>
    <hyperlink ref="B11:E11" location="'DEA-UEPI '!A1" display="DEA-UEPI " xr:uid="{00000000-0004-0000-0000-000007000000}"/>
    <hyperlink ref="B16:E16" location="Diálisis!A1" display="Diálisis" xr:uid="{00000000-0004-0000-0000-000008000000}"/>
    <hyperlink ref="B15:E15" location="'Incubadoras Trimestral'!A1" display="Incubadoras Trimestral" xr:uid="{00000000-0004-0000-0000-000009000000}"/>
    <hyperlink ref="B14:E14" location="'Incubadoras Semestral'!A1" display="Incubadoras Semestral" xr:uid="{00000000-0004-0000-0000-00000A000000}"/>
    <hyperlink ref="B13:E13" location="MAnestesia!A1" display="MAnestesia" xr:uid="{00000000-0004-0000-0000-00000B000000}"/>
    <hyperlink ref="B12:E12" location="Ventiladores!A1" display="Ventiladores" xr:uid="{00000000-0004-0000-0000-00000C0000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00B050"/>
    <pageSetUpPr fitToPage="1"/>
  </sheetPr>
  <dimension ref="B1:O44"/>
  <sheetViews>
    <sheetView zoomScaleNormal="100" workbookViewId="0">
      <selection activeCell="H4" sqref="H4:L4"/>
    </sheetView>
  </sheetViews>
  <sheetFormatPr baseColWidth="10" defaultColWidth="11.42578125" defaultRowHeight="12.75" x14ac:dyDescent="0.2"/>
  <cols>
    <col min="1" max="1" width="0.85546875" style="2" customWidth="1"/>
    <col min="2" max="2" width="26.28515625" style="2" customWidth="1"/>
    <col min="3" max="3" width="6.85546875" style="2" customWidth="1"/>
    <col min="4" max="4" width="7.42578125" style="2" customWidth="1"/>
    <col min="5" max="7" width="5.7109375" style="2" customWidth="1"/>
    <col min="8" max="8" width="14.42578125" style="2" customWidth="1"/>
    <col min="9" max="9" width="11.85546875" style="2" customWidth="1"/>
    <col min="10" max="11" width="7" style="2" customWidth="1"/>
    <col min="12" max="12" width="7.140625" style="2" customWidth="1"/>
    <col min="13" max="13" width="3.140625" style="2" customWidth="1"/>
    <col min="14" max="14" width="7.7109375" style="2" customWidth="1"/>
    <col min="15" max="15" width="8.140625" style="2" customWidth="1"/>
    <col min="16" max="16384" width="11.42578125" style="2"/>
  </cols>
  <sheetData>
    <row r="1" spans="2:15" ht="78" customHeight="1" thickBot="1" x14ac:dyDescent="0.25">
      <c r="B1" s="107"/>
      <c r="C1" s="266" t="s">
        <v>201</v>
      </c>
      <c r="D1" s="267"/>
      <c r="E1" s="267"/>
      <c r="F1" s="267"/>
      <c r="G1" s="267"/>
      <c r="H1" s="268"/>
      <c r="I1" s="269"/>
      <c r="J1" s="269"/>
      <c r="K1" s="269"/>
      <c r="L1" s="270"/>
    </row>
    <row r="2" spans="2:15" ht="13.5" thickBot="1" x14ac:dyDescent="0.25">
      <c r="B2" s="185" t="s">
        <v>0</v>
      </c>
      <c r="C2" s="186"/>
      <c r="D2" s="186"/>
      <c r="E2" s="186"/>
      <c r="F2" s="186"/>
      <c r="G2" s="186"/>
      <c r="H2" s="186"/>
      <c r="I2" s="186"/>
      <c r="J2" s="186"/>
      <c r="K2" s="271"/>
      <c r="L2" s="187"/>
    </row>
    <row r="3" spans="2:15" ht="16.5" thickBot="1" x14ac:dyDescent="0.25">
      <c r="B3" s="272" t="s">
        <v>119</v>
      </c>
      <c r="C3" s="273"/>
      <c r="D3" s="273"/>
      <c r="E3" s="273"/>
      <c r="F3" s="273"/>
      <c r="G3" s="273"/>
      <c r="H3" s="273"/>
      <c r="I3" s="274"/>
      <c r="J3" s="275" t="s">
        <v>1</v>
      </c>
      <c r="K3" s="276"/>
      <c r="L3" s="160">
        <v>315</v>
      </c>
      <c r="M3" s="77">
        <v>329</v>
      </c>
      <c r="N3" s="85" t="s">
        <v>113</v>
      </c>
      <c r="O3" s="86">
        <v>452</v>
      </c>
    </row>
    <row r="4" spans="2:15" ht="15.75" customHeight="1" thickBot="1" x14ac:dyDescent="0.25">
      <c r="B4" s="281" t="s">
        <v>132</v>
      </c>
      <c r="C4" s="282" t="s">
        <v>2</v>
      </c>
      <c r="D4" s="283"/>
      <c r="E4" s="284"/>
      <c r="F4" s="292" t="s">
        <v>3</v>
      </c>
      <c r="G4" s="293"/>
      <c r="H4" s="289" t="str">
        <f>VLOOKUP(L3,[1]PMP_2025!$C$354:$R$931,4,FALSE)</f>
        <v>Neonatología</v>
      </c>
      <c r="I4" s="289"/>
      <c r="J4" s="289"/>
      <c r="K4" s="290"/>
      <c r="L4" s="291"/>
      <c r="M4" s="77">
        <v>330</v>
      </c>
      <c r="N4" s="84" t="s">
        <v>114</v>
      </c>
      <c r="O4" s="83">
        <v>454</v>
      </c>
    </row>
    <row r="5" spans="2:15" ht="14.25" customHeight="1" x14ac:dyDescent="0.2">
      <c r="B5" s="281"/>
      <c r="C5" s="285"/>
      <c r="D5" s="286"/>
      <c r="E5" s="287"/>
      <c r="F5" s="288" t="s">
        <v>4</v>
      </c>
      <c r="G5" s="288"/>
      <c r="H5" s="289" t="str">
        <f>VLOOKUP(L3,[1]PMP_2025!$C$354:$R$931,8,FALSE)</f>
        <v>Drager</v>
      </c>
      <c r="I5" s="289"/>
      <c r="J5" s="289"/>
      <c r="K5" s="290"/>
      <c r="L5" s="291"/>
      <c r="M5" s="77">
        <f>COUNTIF(M3:M4,L3)</f>
        <v>0</v>
      </c>
    </row>
    <row r="6" spans="2:15" x14ac:dyDescent="0.2">
      <c r="B6" s="125" t="s">
        <v>5</v>
      </c>
      <c r="C6" s="277" t="str">
        <f>VLOOKUP(L3,[1]PMP_2025!$C$354:$R$931,9,FALSE)</f>
        <v>Vista 120</v>
      </c>
      <c r="D6" s="277"/>
      <c r="E6" s="277"/>
      <c r="F6" s="277"/>
      <c r="G6" s="277"/>
      <c r="H6" s="278" t="s">
        <v>6</v>
      </c>
      <c r="I6" s="278"/>
      <c r="J6" s="278"/>
      <c r="K6" s="279" t="str">
        <f>VLOOKUP(L3,[1]PMP_2025!$C$354:$R$931,2,FALSE)</f>
        <v>2-110941</v>
      </c>
      <c r="L6" s="280"/>
    </row>
    <row r="7" spans="2:15" ht="15.75" customHeight="1" thickBot="1" x14ac:dyDescent="0.25">
      <c r="B7" s="127" t="s">
        <v>7</v>
      </c>
      <c r="C7" s="254" t="str">
        <f>VLOOKUP(L3,[1]PMP_2025!$C$354:$R$931,10,FALSE)</f>
        <v>VQSHD0234</v>
      </c>
      <c r="D7" s="254"/>
      <c r="E7" s="254"/>
      <c r="F7" s="254"/>
      <c r="G7" s="254"/>
      <c r="H7" s="255" t="s">
        <v>8</v>
      </c>
      <c r="I7" s="255"/>
      <c r="J7" s="255"/>
      <c r="K7" s="256"/>
      <c r="L7" s="257"/>
    </row>
    <row r="8" spans="2:15" ht="13.5" thickBot="1" x14ac:dyDescent="0.25">
      <c r="B8" s="237" t="s">
        <v>9</v>
      </c>
      <c r="C8" s="238"/>
      <c r="D8" s="238"/>
      <c r="E8" s="238"/>
      <c r="F8" s="238"/>
      <c r="G8" s="238"/>
      <c r="H8" s="238"/>
      <c r="I8" s="238"/>
      <c r="J8" s="238"/>
      <c r="K8" s="239"/>
      <c r="L8" s="240"/>
    </row>
    <row r="9" spans="2:15" ht="15.75" customHeight="1" x14ac:dyDescent="0.2">
      <c r="B9" s="252" t="s">
        <v>10</v>
      </c>
      <c r="C9" s="253"/>
      <c r="D9" s="253"/>
      <c r="E9" s="225" t="s">
        <v>11</v>
      </c>
      <c r="F9" s="225"/>
      <c r="G9" s="225"/>
      <c r="H9" s="258" t="s">
        <v>12</v>
      </c>
      <c r="I9" s="258"/>
      <c r="J9" s="258"/>
      <c r="K9" s="259"/>
      <c r="L9" s="260"/>
    </row>
    <row r="10" spans="2:15" ht="15" customHeight="1" x14ac:dyDescent="0.2">
      <c r="B10" s="264" t="s">
        <v>13</v>
      </c>
      <c r="C10" s="265"/>
      <c r="D10" s="265"/>
      <c r="E10" s="10" t="s">
        <v>14</v>
      </c>
      <c r="F10" s="10" t="s">
        <v>15</v>
      </c>
      <c r="G10" s="10" t="s">
        <v>16</v>
      </c>
      <c r="H10" s="261"/>
      <c r="I10" s="261"/>
      <c r="J10" s="261"/>
      <c r="K10" s="262"/>
      <c r="L10" s="263"/>
    </row>
    <row r="11" spans="2:15" x14ac:dyDescent="0.2">
      <c r="B11" s="200" t="s">
        <v>121</v>
      </c>
      <c r="C11" s="201"/>
      <c r="D11" s="201"/>
      <c r="E11" s="10"/>
      <c r="F11" s="10"/>
      <c r="G11" s="10"/>
      <c r="H11" s="188"/>
      <c r="I11" s="188"/>
      <c r="J11" s="188"/>
      <c r="K11" s="229"/>
      <c r="L11" s="189"/>
    </row>
    <row r="12" spans="2:15" x14ac:dyDescent="0.2">
      <c r="B12" s="200" t="s">
        <v>122</v>
      </c>
      <c r="C12" s="201"/>
      <c r="D12" s="201"/>
      <c r="E12" s="10"/>
      <c r="F12" s="10"/>
      <c r="G12" s="10"/>
      <c r="H12" s="188"/>
      <c r="I12" s="188"/>
      <c r="J12" s="188"/>
      <c r="K12" s="229"/>
      <c r="L12" s="189"/>
    </row>
    <row r="13" spans="2:15" x14ac:dyDescent="0.2">
      <c r="B13" s="200" t="s">
        <v>238</v>
      </c>
      <c r="C13" s="201"/>
      <c r="D13" s="201"/>
      <c r="E13" s="10"/>
      <c r="F13" s="10"/>
      <c r="G13" s="10"/>
      <c r="H13" s="188"/>
      <c r="I13" s="188"/>
      <c r="J13" s="188"/>
      <c r="K13" s="229"/>
      <c r="L13" s="189"/>
    </row>
    <row r="14" spans="2:15" x14ac:dyDescent="0.2">
      <c r="B14" s="250" t="s">
        <v>124</v>
      </c>
      <c r="C14" s="251"/>
      <c r="D14" s="251"/>
      <c r="E14" s="10"/>
      <c r="F14" s="10"/>
      <c r="G14" s="10"/>
      <c r="H14" s="188"/>
      <c r="I14" s="188"/>
      <c r="J14" s="188"/>
      <c r="K14" s="229"/>
      <c r="L14" s="189"/>
    </row>
    <row r="15" spans="2:15" ht="13.5" thickBot="1" x14ac:dyDescent="0.25">
      <c r="B15" s="200" t="s">
        <v>137</v>
      </c>
      <c r="C15" s="201"/>
      <c r="D15" s="201"/>
      <c r="E15" s="10"/>
      <c r="F15" s="10"/>
      <c r="G15" s="10"/>
      <c r="H15" s="188"/>
      <c r="I15" s="188"/>
      <c r="J15" s="188"/>
      <c r="K15" s="229"/>
      <c r="L15" s="189"/>
    </row>
    <row r="16" spans="2:15" x14ac:dyDescent="0.2">
      <c r="B16" s="252" t="s">
        <v>18</v>
      </c>
      <c r="C16" s="253"/>
      <c r="D16" s="253"/>
      <c r="E16" s="11" t="s">
        <v>14</v>
      </c>
      <c r="F16" s="11" t="s">
        <v>15</v>
      </c>
      <c r="G16" s="11" t="s">
        <v>16</v>
      </c>
      <c r="H16" s="225"/>
      <c r="I16" s="225"/>
      <c r="J16" s="225"/>
      <c r="K16" s="226"/>
      <c r="L16" s="249"/>
    </row>
    <row r="17" spans="2:12" x14ac:dyDescent="0.2">
      <c r="B17" s="190" t="s">
        <v>19</v>
      </c>
      <c r="C17" s="215"/>
      <c r="D17" s="216"/>
      <c r="E17" s="10"/>
      <c r="F17" s="10"/>
      <c r="G17" s="10"/>
      <c r="H17" s="188"/>
      <c r="I17" s="188"/>
      <c r="J17" s="188"/>
      <c r="K17" s="229"/>
      <c r="L17" s="189"/>
    </row>
    <row r="18" spans="2:12" x14ac:dyDescent="0.2">
      <c r="B18" s="190" t="s">
        <v>20</v>
      </c>
      <c r="C18" s="215"/>
      <c r="D18" s="216"/>
      <c r="E18" s="10"/>
      <c r="F18" s="10"/>
      <c r="G18" s="10"/>
      <c r="H18" s="188"/>
      <c r="I18" s="188"/>
      <c r="J18" s="188"/>
      <c r="K18" s="229"/>
      <c r="L18" s="189"/>
    </row>
    <row r="19" spans="2:12" x14ac:dyDescent="0.2">
      <c r="B19" s="190" t="s">
        <v>200</v>
      </c>
      <c r="C19" s="190"/>
      <c r="D19" s="190"/>
      <c r="E19" s="10"/>
      <c r="F19" s="10"/>
      <c r="G19" s="10"/>
      <c r="H19" s="188"/>
      <c r="I19" s="188"/>
      <c r="J19" s="188"/>
      <c r="K19" s="188"/>
      <c r="L19" s="189"/>
    </row>
    <row r="20" spans="2:12" ht="13.5" thickBot="1" x14ac:dyDescent="0.25">
      <c r="B20" s="230" t="s">
        <v>126</v>
      </c>
      <c r="C20" s="217"/>
      <c r="D20" s="218"/>
      <c r="E20" s="106"/>
      <c r="F20" s="106"/>
      <c r="G20" s="106"/>
      <c r="H20" s="231"/>
      <c r="I20" s="231"/>
      <c r="J20" s="231"/>
      <c r="K20" s="232"/>
      <c r="L20" s="233"/>
    </row>
    <row r="21" spans="2:12" ht="15" customHeight="1" x14ac:dyDescent="0.2">
      <c r="B21" s="246" t="s">
        <v>21</v>
      </c>
      <c r="C21" s="247"/>
      <c r="D21" s="248"/>
      <c r="E21" s="11" t="s">
        <v>14</v>
      </c>
      <c r="F21" s="11" t="s">
        <v>15</v>
      </c>
      <c r="G21" s="11" t="s">
        <v>16</v>
      </c>
      <c r="H21" s="225"/>
      <c r="I21" s="225"/>
      <c r="J21" s="225"/>
      <c r="K21" s="226"/>
      <c r="L21" s="249"/>
    </row>
    <row r="22" spans="2:12" x14ac:dyDescent="0.2">
      <c r="B22" s="190" t="s">
        <v>22</v>
      </c>
      <c r="C22" s="215"/>
      <c r="D22" s="216"/>
      <c r="E22" s="10"/>
      <c r="F22" s="10"/>
      <c r="G22" s="10"/>
      <c r="H22" s="188"/>
      <c r="I22" s="188"/>
      <c r="J22" s="188"/>
      <c r="K22" s="229"/>
      <c r="L22" s="189"/>
    </row>
    <row r="23" spans="2:12" x14ac:dyDescent="0.2">
      <c r="B23" s="190" t="s">
        <v>128</v>
      </c>
      <c r="C23" s="215"/>
      <c r="D23" s="216"/>
      <c r="E23" s="10"/>
      <c r="F23" s="10"/>
      <c r="G23" s="10"/>
      <c r="H23" s="188"/>
      <c r="I23" s="188"/>
      <c r="J23" s="188"/>
      <c r="K23" s="229"/>
      <c r="L23" s="189"/>
    </row>
    <row r="24" spans="2:12" x14ac:dyDescent="0.2">
      <c r="B24" s="190" t="s">
        <v>158</v>
      </c>
      <c r="C24" s="215"/>
      <c r="D24" s="216"/>
      <c r="E24" s="10"/>
      <c r="F24" s="10"/>
      <c r="G24" s="10"/>
      <c r="H24" s="188"/>
      <c r="I24" s="188"/>
      <c r="J24" s="188"/>
      <c r="K24" s="229"/>
      <c r="L24" s="189"/>
    </row>
    <row r="25" spans="2:12" x14ac:dyDescent="0.2">
      <c r="B25" s="190" t="s">
        <v>23</v>
      </c>
      <c r="C25" s="215"/>
      <c r="D25" s="216"/>
      <c r="E25" s="10"/>
      <c r="F25" s="10"/>
      <c r="G25" s="10"/>
      <c r="H25" s="188"/>
      <c r="I25" s="188"/>
      <c r="J25" s="188"/>
      <c r="K25" s="229"/>
      <c r="L25" s="189"/>
    </row>
    <row r="26" spans="2:12" ht="13.5" thickBot="1" x14ac:dyDescent="0.25">
      <c r="B26" s="230" t="s">
        <v>24</v>
      </c>
      <c r="C26" s="217"/>
      <c r="D26" s="218"/>
      <c r="E26" s="106"/>
      <c r="F26" s="106"/>
      <c r="G26" s="106"/>
      <c r="H26" s="231"/>
      <c r="I26" s="231"/>
      <c r="J26" s="231"/>
      <c r="K26" s="232"/>
      <c r="L26" s="233"/>
    </row>
    <row r="27" spans="2:12" ht="13.5" thickBot="1" x14ac:dyDescent="0.25">
      <c r="B27" s="234" t="s">
        <v>25</v>
      </c>
      <c r="C27" s="235"/>
      <c r="D27" s="235"/>
      <c r="E27" s="236"/>
      <c r="F27" s="237" t="s">
        <v>26</v>
      </c>
      <c r="G27" s="238"/>
      <c r="H27" s="238"/>
      <c r="I27" s="238"/>
      <c r="J27" s="238"/>
      <c r="K27" s="239"/>
      <c r="L27" s="240"/>
    </row>
    <row r="28" spans="2:12" x14ac:dyDescent="0.2">
      <c r="B28" s="60" t="s">
        <v>27</v>
      </c>
      <c r="C28" s="11" t="s">
        <v>14</v>
      </c>
      <c r="D28" s="11" t="s">
        <v>28</v>
      </c>
      <c r="E28" s="61" t="s">
        <v>16</v>
      </c>
      <c r="F28" s="224" t="s">
        <v>29</v>
      </c>
      <c r="G28" s="241"/>
      <c r="H28" s="241"/>
      <c r="I28" s="241"/>
      <c r="J28" s="11" t="s">
        <v>14</v>
      </c>
      <c r="K28" s="11" t="s">
        <v>28</v>
      </c>
      <c r="L28" s="61" t="s">
        <v>16</v>
      </c>
    </row>
    <row r="29" spans="2:12" ht="15" customHeight="1" x14ac:dyDescent="0.2">
      <c r="B29" s="5" t="s">
        <v>244</v>
      </c>
      <c r="C29" s="10"/>
      <c r="D29" s="75"/>
      <c r="E29" s="112"/>
      <c r="F29" s="216" t="s">
        <v>140</v>
      </c>
      <c r="G29" s="201"/>
      <c r="H29" s="201"/>
      <c r="I29" s="201"/>
      <c r="J29" s="3"/>
      <c r="K29" s="3"/>
      <c r="L29" s="7"/>
    </row>
    <row r="30" spans="2:12" x14ac:dyDescent="0.2">
      <c r="B30" s="5" t="s">
        <v>130</v>
      </c>
      <c r="C30" s="10"/>
      <c r="D30" s="75"/>
      <c r="E30" s="112"/>
      <c r="F30" s="216" t="s">
        <v>30</v>
      </c>
      <c r="G30" s="201"/>
      <c r="H30" s="201"/>
      <c r="I30" s="201"/>
      <c r="J30" s="3"/>
      <c r="K30" s="3"/>
      <c r="L30" s="7"/>
    </row>
    <row r="31" spans="2:12" ht="13.5" thickBot="1" x14ac:dyDescent="0.25">
      <c r="B31" s="20" t="s">
        <v>243</v>
      </c>
      <c r="C31" s="106"/>
      <c r="D31" s="76"/>
      <c r="E31" s="113"/>
      <c r="F31" s="218" t="s">
        <v>31</v>
      </c>
      <c r="G31" s="242"/>
      <c r="H31" s="242"/>
      <c r="I31" s="242"/>
      <c r="J31" s="4"/>
      <c r="K31" s="4"/>
      <c r="L31" s="21"/>
    </row>
    <row r="32" spans="2:12" ht="15" customHeight="1" thickBot="1" x14ac:dyDescent="0.25">
      <c r="B32" s="243" t="s">
        <v>32</v>
      </c>
      <c r="C32" s="206"/>
      <c r="D32" s="206"/>
      <c r="E32" s="208"/>
      <c r="F32" s="244" t="s">
        <v>33</v>
      </c>
      <c r="G32" s="244"/>
      <c r="H32" s="244"/>
      <c r="I32" s="244"/>
      <c r="J32" s="244"/>
      <c r="K32" s="244"/>
      <c r="L32" s="245"/>
    </row>
    <row r="33" spans="2:12" x14ac:dyDescent="0.2">
      <c r="B33" s="60" t="s">
        <v>27</v>
      </c>
      <c r="C33" s="11" t="s">
        <v>14</v>
      </c>
      <c r="D33" s="11" t="s">
        <v>28</v>
      </c>
      <c r="E33" s="61" t="s">
        <v>16</v>
      </c>
      <c r="F33" s="223" t="s">
        <v>29</v>
      </c>
      <c r="G33" s="223"/>
      <c r="H33" s="223"/>
      <c r="I33" s="224"/>
      <c r="J33" s="11" t="s">
        <v>14</v>
      </c>
      <c r="K33" s="11" t="s">
        <v>28</v>
      </c>
      <c r="L33" s="61" t="s">
        <v>16</v>
      </c>
    </row>
    <row r="34" spans="2:12" x14ac:dyDescent="0.2">
      <c r="B34" s="5" t="s">
        <v>245</v>
      </c>
      <c r="C34" s="3"/>
      <c r="D34" s="6"/>
      <c r="E34" s="62"/>
      <c r="F34" s="215" t="s">
        <v>247</v>
      </c>
      <c r="G34" s="215"/>
      <c r="H34" s="215"/>
      <c r="I34" s="216"/>
      <c r="J34" s="3"/>
      <c r="K34" s="3"/>
      <c r="L34" s="7"/>
    </row>
    <row r="35" spans="2:12" x14ac:dyDescent="0.2">
      <c r="B35" s="5" t="s">
        <v>246</v>
      </c>
      <c r="C35" s="3"/>
      <c r="D35" s="6"/>
      <c r="E35" s="62"/>
      <c r="F35" s="215" t="s">
        <v>248</v>
      </c>
      <c r="G35" s="215"/>
      <c r="H35" s="215"/>
      <c r="I35" s="216"/>
      <c r="J35" s="3"/>
      <c r="K35" s="3"/>
      <c r="L35" s="7"/>
    </row>
    <row r="36" spans="2:12" ht="13.5" thickBot="1" x14ac:dyDescent="0.25">
      <c r="B36" s="20" t="s">
        <v>131</v>
      </c>
      <c r="C36" s="4"/>
      <c r="D36" s="63"/>
      <c r="E36" s="64"/>
      <c r="F36" s="217" t="s">
        <v>249</v>
      </c>
      <c r="G36" s="217"/>
      <c r="H36" s="217"/>
      <c r="I36" s="218"/>
      <c r="J36" s="4"/>
      <c r="K36" s="4"/>
      <c r="L36" s="21"/>
    </row>
    <row r="37" spans="2:12" ht="15.75" customHeight="1" thickBot="1" x14ac:dyDescent="0.3">
      <c r="B37" s="219" t="s">
        <v>34</v>
      </c>
      <c r="C37" s="206"/>
      <c r="D37" s="206"/>
      <c r="E37" s="206"/>
      <c r="F37" s="206"/>
      <c r="G37" s="220" t="s">
        <v>35</v>
      </c>
      <c r="H37" s="206"/>
      <c r="I37" s="206"/>
      <c r="J37" s="206"/>
      <c r="K37" s="221"/>
      <c r="L37" s="208"/>
    </row>
    <row r="38" spans="2:12" ht="15" customHeight="1" x14ac:dyDescent="0.2">
      <c r="B38" s="222" t="s">
        <v>36</v>
      </c>
      <c r="C38" s="223"/>
      <c r="D38" s="224"/>
      <c r="E38" s="225" t="s">
        <v>37</v>
      </c>
      <c r="F38" s="225"/>
      <c r="G38" s="226"/>
      <c r="H38" s="227"/>
      <c r="I38" s="227"/>
      <c r="J38" s="228"/>
      <c r="K38" s="8" t="s">
        <v>38</v>
      </c>
      <c r="L38" s="9" t="s">
        <v>39</v>
      </c>
    </row>
    <row r="39" spans="2:12" ht="15" customHeight="1" x14ac:dyDescent="0.2">
      <c r="B39" s="200" t="s">
        <v>141</v>
      </c>
      <c r="C39" s="201"/>
      <c r="D39" s="201"/>
      <c r="E39" s="188"/>
      <c r="F39" s="188"/>
      <c r="G39" s="209" t="s">
        <v>40</v>
      </c>
      <c r="H39" s="210"/>
      <c r="I39" s="210"/>
      <c r="J39" s="211"/>
      <c r="K39" s="205"/>
      <c r="L39" s="207"/>
    </row>
    <row r="40" spans="2:12" ht="15.75" customHeight="1" thickBot="1" x14ac:dyDescent="0.25">
      <c r="B40" s="202" t="s">
        <v>52</v>
      </c>
      <c r="C40" s="203"/>
      <c r="D40" s="203"/>
      <c r="E40" s="204"/>
      <c r="F40" s="204"/>
      <c r="G40" s="212"/>
      <c r="H40" s="213"/>
      <c r="I40" s="213"/>
      <c r="J40" s="214"/>
      <c r="K40" s="206"/>
      <c r="L40" s="208"/>
    </row>
    <row r="41" spans="2:12" ht="12.75" customHeight="1" x14ac:dyDescent="0.2">
      <c r="B41" s="191" t="s">
        <v>54</v>
      </c>
      <c r="C41" s="192"/>
      <c r="D41" s="193"/>
      <c r="E41" s="191" t="s">
        <v>199</v>
      </c>
      <c r="F41" s="192"/>
      <c r="G41" s="192"/>
      <c r="H41" s="193"/>
      <c r="I41" s="192" t="s">
        <v>93</v>
      </c>
      <c r="J41" s="192"/>
      <c r="K41" s="192"/>
      <c r="L41" s="193"/>
    </row>
    <row r="42" spans="2:12" ht="15" customHeight="1" x14ac:dyDescent="0.2">
      <c r="B42" s="194"/>
      <c r="C42" s="195"/>
      <c r="D42" s="196"/>
      <c r="E42" s="194"/>
      <c r="F42" s="195"/>
      <c r="G42" s="195"/>
      <c r="H42" s="196"/>
      <c r="I42" s="195"/>
      <c r="J42" s="195"/>
      <c r="K42" s="195"/>
      <c r="L42" s="196"/>
    </row>
    <row r="43" spans="2:12" ht="15" customHeight="1" x14ac:dyDescent="0.2">
      <c r="B43" s="194"/>
      <c r="C43" s="195"/>
      <c r="D43" s="196"/>
      <c r="E43" s="194"/>
      <c r="F43" s="195"/>
      <c r="G43" s="195"/>
      <c r="H43" s="196"/>
      <c r="I43" s="195"/>
      <c r="J43" s="195"/>
      <c r="K43" s="195"/>
      <c r="L43" s="196"/>
    </row>
    <row r="44" spans="2:12" ht="48" customHeight="1" thickBot="1" x14ac:dyDescent="0.25">
      <c r="B44" s="197"/>
      <c r="C44" s="198"/>
      <c r="D44" s="199"/>
      <c r="E44" s="197"/>
      <c r="F44" s="198"/>
      <c r="G44" s="198"/>
      <c r="H44" s="199"/>
      <c r="I44" s="198"/>
      <c r="J44" s="198"/>
      <c r="K44" s="198"/>
      <c r="L44" s="199"/>
    </row>
  </sheetData>
  <mergeCells count="81">
    <mergeCell ref="C6:G6"/>
    <mergeCell ref="H6:J6"/>
    <mergeCell ref="K6:L6"/>
    <mergeCell ref="B4:B5"/>
    <mergeCell ref="C4:E5"/>
    <mergeCell ref="F5:G5"/>
    <mergeCell ref="H5:L5"/>
    <mergeCell ref="F4:G4"/>
    <mergeCell ref="H4:L4"/>
    <mergeCell ref="C1:H1"/>
    <mergeCell ref="I1:L1"/>
    <mergeCell ref="B2:L2"/>
    <mergeCell ref="B3:I3"/>
    <mergeCell ref="J3:K3"/>
    <mergeCell ref="C7:G7"/>
    <mergeCell ref="H7:J7"/>
    <mergeCell ref="K7:L7"/>
    <mergeCell ref="E9:G9"/>
    <mergeCell ref="H9:L10"/>
    <mergeCell ref="B10:D10"/>
    <mergeCell ref="B8:L8"/>
    <mergeCell ref="B9:D9"/>
    <mergeCell ref="B12:D12"/>
    <mergeCell ref="H12:L12"/>
    <mergeCell ref="B11:D11"/>
    <mergeCell ref="H11:L11"/>
    <mergeCell ref="B13:D13"/>
    <mergeCell ref="H13:L13"/>
    <mergeCell ref="B17:D17"/>
    <mergeCell ref="H17:L17"/>
    <mergeCell ref="B18:D18"/>
    <mergeCell ref="H18:L18"/>
    <mergeCell ref="B14:D14"/>
    <mergeCell ref="H14:L14"/>
    <mergeCell ref="B15:D15"/>
    <mergeCell ref="H15:L15"/>
    <mergeCell ref="B16:D16"/>
    <mergeCell ref="H16:L16"/>
    <mergeCell ref="B20:D20"/>
    <mergeCell ref="H20:L20"/>
    <mergeCell ref="B21:D21"/>
    <mergeCell ref="H21:L21"/>
    <mergeCell ref="B22:D22"/>
    <mergeCell ref="H22:L22"/>
    <mergeCell ref="F33:I33"/>
    <mergeCell ref="B23:D23"/>
    <mergeCell ref="H23:L23"/>
    <mergeCell ref="B24:D24"/>
    <mergeCell ref="H24:L24"/>
    <mergeCell ref="B38:D38"/>
    <mergeCell ref="E38:F38"/>
    <mergeCell ref="G38:J38"/>
    <mergeCell ref="B25:D25"/>
    <mergeCell ref="H25:L25"/>
    <mergeCell ref="F34:I34"/>
    <mergeCell ref="B26:D26"/>
    <mergeCell ref="H26:L26"/>
    <mergeCell ref="B27:E27"/>
    <mergeCell ref="F27:L27"/>
    <mergeCell ref="F28:I28"/>
    <mergeCell ref="F29:I29"/>
    <mergeCell ref="F30:I30"/>
    <mergeCell ref="F31:I31"/>
    <mergeCell ref="B32:E32"/>
    <mergeCell ref="F32:L32"/>
    <mergeCell ref="H19:L19"/>
    <mergeCell ref="B19:D19"/>
    <mergeCell ref="B41:D44"/>
    <mergeCell ref="E41:H44"/>
    <mergeCell ref="I41:L44"/>
    <mergeCell ref="B39:D39"/>
    <mergeCell ref="E39:F39"/>
    <mergeCell ref="B40:D40"/>
    <mergeCell ref="E40:F40"/>
    <mergeCell ref="K39:K40"/>
    <mergeCell ref="L39:L40"/>
    <mergeCell ref="G39:J40"/>
    <mergeCell ref="F35:I35"/>
    <mergeCell ref="F36:I36"/>
    <mergeCell ref="B37:F37"/>
    <mergeCell ref="G37:L37"/>
  </mergeCells>
  <conditionalFormatting sqref="C6:G7 K6:L6 F4 H4:L5">
    <cfRule type="cellIs" dxfId="8" priority="1" operator="equal">
      <formula>0</formula>
    </cfRule>
  </conditionalFormatting>
  <dataValidations count="1">
    <dataValidation type="custom" allowBlank="1" showInputMessage="1" showErrorMessage="1" sqref="L3" xr:uid="{00000000-0002-0000-0100-000000000000}">
      <formula1>M5=0</formula1>
    </dataValidation>
  </dataValidations>
  <printOptions horizontalCentered="1"/>
  <pageMargins left="0.25" right="0.25" top="0.75" bottom="0.75" header="0.3" footer="0.3"/>
  <pageSetup scale="96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13</xdr:col>
                <xdr:colOff>342900</xdr:colOff>
                <xdr:row>4</xdr:row>
                <xdr:rowOff>133350</xdr:rowOff>
              </from>
              <to>
                <xdr:col>15</xdr:col>
                <xdr:colOff>9525</xdr:colOff>
                <xdr:row>6</xdr:row>
                <xdr:rowOff>76200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B050"/>
    <pageSetUpPr fitToPage="1"/>
  </sheetPr>
  <dimension ref="B1:M38"/>
  <sheetViews>
    <sheetView zoomScale="120" zoomScaleNormal="120" workbookViewId="0">
      <selection activeCell="L3" sqref="L3"/>
    </sheetView>
  </sheetViews>
  <sheetFormatPr baseColWidth="10" defaultColWidth="11.42578125" defaultRowHeight="12.75" x14ac:dyDescent="0.2"/>
  <cols>
    <col min="1" max="1" width="3" style="2" customWidth="1"/>
    <col min="2" max="2" width="21" style="2" customWidth="1"/>
    <col min="3" max="3" width="6.42578125" style="2" customWidth="1"/>
    <col min="4" max="4" width="5.7109375" style="2" customWidth="1"/>
    <col min="5" max="5" width="5.85546875" style="2" customWidth="1"/>
    <col min="6" max="6" width="5.5703125" style="2" customWidth="1"/>
    <col min="7" max="7" width="4.7109375" style="108" customWidth="1"/>
    <col min="8" max="8" width="14.42578125" style="2" customWidth="1"/>
    <col min="9" max="9" width="5.42578125" style="2" customWidth="1"/>
    <col min="10" max="10" width="7.140625" style="2" customWidth="1"/>
    <col min="11" max="11" width="5.85546875" style="2" customWidth="1"/>
    <col min="12" max="12" width="6.140625" style="2" customWidth="1"/>
    <col min="13" max="13" width="3.7109375" style="2" customWidth="1"/>
    <col min="14" max="16384" width="11.42578125" style="2"/>
  </cols>
  <sheetData>
    <row r="1" spans="2:13" ht="75" customHeight="1" thickBot="1" x14ac:dyDescent="0.25">
      <c r="B1" s="1"/>
      <c r="C1" s="266" t="s">
        <v>240</v>
      </c>
      <c r="D1" s="267"/>
      <c r="E1" s="267"/>
      <c r="F1" s="267"/>
      <c r="G1" s="267"/>
      <c r="H1" s="268"/>
      <c r="I1" s="269"/>
      <c r="J1" s="269"/>
      <c r="K1" s="269"/>
      <c r="L1" s="270"/>
    </row>
    <row r="2" spans="2:13" x14ac:dyDescent="0.2">
      <c r="B2" s="252" t="s">
        <v>0</v>
      </c>
      <c r="C2" s="253"/>
      <c r="D2" s="253"/>
      <c r="E2" s="253"/>
      <c r="F2" s="253"/>
      <c r="G2" s="253"/>
      <c r="H2" s="253"/>
      <c r="I2" s="253"/>
      <c r="J2" s="253"/>
      <c r="K2" s="320"/>
      <c r="L2" s="321"/>
    </row>
    <row r="3" spans="2:13" ht="15.75" x14ac:dyDescent="0.25">
      <c r="B3" s="322" t="s">
        <v>144</v>
      </c>
      <c r="C3" s="323"/>
      <c r="D3" s="323"/>
      <c r="E3" s="323"/>
      <c r="F3" s="323"/>
      <c r="G3" s="323"/>
      <c r="H3" s="323"/>
      <c r="I3" s="324"/>
      <c r="J3" s="325" t="s">
        <v>1</v>
      </c>
      <c r="K3" s="326"/>
      <c r="L3" s="87">
        <v>330</v>
      </c>
      <c r="M3" s="77">
        <v>329</v>
      </c>
    </row>
    <row r="4" spans="2:13" ht="12.75" customHeight="1" x14ac:dyDescent="0.2">
      <c r="B4" s="281" t="s">
        <v>132</v>
      </c>
      <c r="C4" s="282" t="s">
        <v>2</v>
      </c>
      <c r="D4" s="283"/>
      <c r="E4" s="284"/>
      <c r="F4" s="330"/>
      <c r="G4" s="330"/>
      <c r="H4" s="330"/>
      <c r="I4" s="331"/>
      <c r="J4" s="94" t="s">
        <v>3</v>
      </c>
      <c r="K4" s="332" t="str">
        <f>VLOOKUP(L3,[1]PMP_2025!$C$349:$R$931,4,FALSE)</f>
        <v>Neonatología</v>
      </c>
      <c r="L4" s="333"/>
      <c r="M4" s="77">
        <v>330</v>
      </c>
    </row>
    <row r="5" spans="2:13" ht="12.75" customHeight="1" x14ac:dyDescent="0.2">
      <c r="B5" s="281"/>
      <c r="C5" s="285"/>
      <c r="D5" s="286"/>
      <c r="E5" s="287"/>
      <c r="F5" s="334" t="s">
        <v>4</v>
      </c>
      <c r="G5" s="334"/>
      <c r="H5" s="335" t="str">
        <f>VLOOKUP(L3,[1]PMP_2025!$C$349:$R$931,8,FALSE)</f>
        <v>Masimo</v>
      </c>
      <c r="I5" s="335"/>
      <c r="J5" s="335"/>
      <c r="K5" s="332"/>
      <c r="L5" s="336"/>
      <c r="M5" s="77">
        <f>COUNTIF(M3:M4,L3)</f>
        <v>1</v>
      </c>
    </row>
    <row r="6" spans="2:13" x14ac:dyDescent="0.2">
      <c r="B6" s="91" t="s">
        <v>5</v>
      </c>
      <c r="C6" s="201" t="str">
        <f>VLOOKUP(L3,[1]PMP_2025!$C$349:$R$931,9,FALSE)</f>
        <v>R7</v>
      </c>
      <c r="D6" s="201"/>
      <c r="E6" s="201"/>
      <c r="F6" s="201"/>
      <c r="G6" s="201"/>
      <c r="H6" s="327" t="s">
        <v>6</v>
      </c>
      <c r="I6" s="327"/>
      <c r="J6" s="327"/>
      <c r="K6" s="328" t="str">
        <f>VLOOKUP(L3,[1]PMP_2025!$C$349:$R$931,2,FALSE)</f>
        <v>2-110796</v>
      </c>
      <c r="L6" s="329"/>
    </row>
    <row r="7" spans="2:13" ht="13.5" thickBot="1" x14ac:dyDescent="0.25">
      <c r="B7" s="92" t="s">
        <v>7</v>
      </c>
      <c r="C7" s="242">
        <f>VLOOKUP(L3,[1]PMP_2025!$C$349:$R$931,10,FALSE)</f>
        <v>225507</v>
      </c>
      <c r="D7" s="242"/>
      <c r="E7" s="242"/>
      <c r="F7" s="242"/>
      <c r="G7" s="242"/>
      <c r="H7" s="317" t="s">
        <v>8</v>
      </c>
      <c r="I7" s="317"/>
      <c r="J7" s="317"/>
      <c r="K7" s="318"/>
      <c r="L7" s="319"/>
    </row>
    <row r="8" spans="2:13" ht="13.5" thickBot="1" x14ac:dyDescent="0.25">
      <c r="B8" s="237" t="s">
        <v>9</v>
      </c>
      <c r="C8" s="238"/>
      <c r="D8" s="238"/>
      <c r="E8" s="238"/>
      <c r="F8" s="238"/>
      <c r="G8" s="238"/>
      <c r="H8" s="238"/>
      <c r="I8" s="238"/>
      <c r="J8" s="238"/>
      <c r="K8" s="239"/>
      <c r="L8" s="240"/>
    </row>
    <row r="9" spans="2:13" x14ac:dyDescent="0.2">
      <c r="B9" s="252" t="s">
        <v>10</v>
      </c>
      <c r="C9" s="253"/>
      <c r="D9" s="253"/>
      <c r="E9" s="225" t="s">
        <v>11</v>
      </c>
      <c r="F9" s="225"/>
      <c r="G9" s="225"/>
      <c r="H9" s="258" t="s">
        <v>12</v>
      </c>
      <c r="I9" s="258"/>
      <c r="J9" s="258"/>
      <c r="K9" s="259"/>
      <c r="L9" s="260"/>
    </row>
    <row r="10" spans="2:13" x14ac:dyDescent="0.2">
      <c r="B10" s="264" t="s">
        <v>13</v>
      </c>
      <c r="C10" s="265"/>
      <c r="D10" s="265"/>
      <c r="E10" s="10" t="s">
        <v>14</v>
      </c>
      <c r="F10" s="10" t="s">
        <v>15</v>
      </c>
      <c r="G10" s="10" t="s">
        <v>16</v>
      </c>
      <c r="H10" s="261"/>
      <c r="I10" s="261"/>
      <c r="J10" s="261"/>
      <c r="K10" s="262"/>
      <c r="L10" s="263"/>
    </row>
    <row r="11" spans="2:13" x14ac:dyDescent="0.2">
      <c r="B11" s="200" t="s">
        <v>121</v>
      </c>
      <c r="C11" s="201"/>
      <c r="D11" s="201"/>
      <c r="E11" s="3"/>
      <c r="F11" s="10"/>
      <c r="G11" s="10"/>
      <c r="H11" s="188"/>
      <c r="I11" s="188"/>
      <c r="J11" s="188"/>
      <c r="K11" s="229"/>
      <c r="L11" s="189"/>
    </row>
    <row r="12" spans="2:13" x14ac:dyDescent="0.2">
      <c r="B12" s="200" t="s">
        <v>122</v>
      </c>
      <c r="C12" s="201"/>
      <c r="D12" s="201"/>
      <c r="E12" s="3"/>
      <c r="F12" s="10"/>
      <c r="G12" s="10"/>
      <c r="H12" s="188"/>
      <c r="I12" s="188"/>
      <c r="J12" s="188"/>
      <c r="K12" s="229"/>
      <c r="L12" s="189"/>
    </row>
    <row r="13" spans="2:13" x14ac:dyDescent="0.2">
      <c r="B13" s="200" t="s">
        <v>123</v>
      </c>
      <c r="C13" s="201"/>
      <c r="D13" s="201"/>
      <c r="E13" s="3"/>
      <c r="F13" s="10"/>
      <c r="G13" s="10"/>
      <c r="H13" s="188"/>
      <c r="I13" s="188"/>
      <c r="J13" s="188"/>
      <c r="K13" s="229"/>
      <c r="L13" s="189"/>
    </row>
    <row r="14" spans="2:13" x14ac:dyDescent="0.2">
      <c r="B14" s="200" t="s">
        <v>124</v>
      </c>
      <c r="C14" s="201"/>
      <c r="D14" s="201"/>
      <c r="E14" s="3"/>
      <c r="F14" s="10"/>
      <c r="G14" s="10"/>
      <c r="H14" s="188"/>
      <c r="I14" s="188"/>
      <c r="J14" s="188"/>
      <c r="K14" s="229"/>
      <c r="L14" s="189"/>
    </row>
    <row r="15" spans="2:13" ht="13.5" thickBot="1" x14ac:dyDescent="0.25">
      <c r="B15" s="200" t="s">
        <v>120</v>
      </c>
      <c r="C15" s="201"/>
      <c r="D15" s="201"/>
      <c r="E15" s="3"/>
      <c r="F15" s="10"/>
      <c r="G15" s="10"/>
      <c r="H15" s="188"/>
      <c r="I15" s="188"/>
      <c r="J15" s="188"/>
      <c r="K15" s="229"/>
      <c r="L15" s="189"/>
    </row>
    <row r="16" spans="2:13" x14ac:dyDescent="0.2">
      <c r="B16" s="252" t="s">
        <v>18</v>
      </c>
      <c r="C16" s="253"/>
      <c r="D16" s="253"/>
      <c r="E16" s="11" t="s">
        <v>14</v>
      </c>
      <c r="F16" s="11" t="s">
        <v>15</v>
      </c>
      <c r="G16" s="11" t="s">
        <v>16</v>
      </c>
      <c r="H16" s="225"/>
      <c r="I16" s="225"/>
      <c r="J16" s="225"/>
      <c r="K16" s="226"/>
      <c r="L16" s="249"/>
    </row>
    <row r="17" spans="2:12" x14ac:dyDescent="0.2">
      <c r="B17" s="190" t="s">
        <v>20</v>
      </c>
      <c r="C17" s="215"/>
      <c r="D17" s="216"/>
      <c r="E17" s="3"/>
      <c r="F17" s="3"/>
      <c r="G17" s="10"/>
      <c r="H17" s="188"/>
      <c r="I17" s="188"/>
      <c r="J17" s="188"/>
      <c r="K17" s="229"/>
      <c r="L17" s="189"/>
    </row>
    <row r="18" spans="2:12" x14ac:dyDescent="0.2">
      <c r="B18" s="190" t="s">
        <v>125</v>
      </c>
      <c r="C18" s="215"/>
      <c r="D18" s="216"/>
      <c r="E18" s="3"/>
      <c r="F18" s="3"/>
      <c r="G18" s="10"/>
      <c r="H18" s="229"/>
      <c r="I18" s="308"/>
      <c r="J18" s="308"/>
      <c r="K18" s="308"/>
      <c r="L18" s="309"/>
    </row>
    <row r="19" spans="2:12" ht="13.5" thickBot="1" x14ac:dyDescent="0.25">
      <c r="B19" s="230" t="s">
        <v>126</v>
      </c>
      <c r="C19" s="217"/>
      <c r="D19" s="218"/>
      <c r="E19" s="4"/>
      <c r="F19" s="4"/>
      <c r="G19" s="106"/>
      <c r="H19" s="231"/>
      <c r="I19" s="231"/>
      <c r="J19" s="231"/>
      <c r="K19" s="232"/>
      <c r="L19" s="233"/>
    </row>
    <row r="20" spans="2:12" x14ac:dyDescent="0.2">
      <c r="B20" s="246" t="s">
        <v>21</v>
      </c>
      <c r="C20" s="247"/>
      <c r="D20" s="248"/>
      <c r="E20" s="11" t="s">
        <v>14</v>
      </c>
      <c r="F20" s="11" t="s">
        <v>15</v>
      </c>
      <c r="G20" s="11" t="s">
        <v>16</v>
      </c>
      <c r="H20" s="225"/>
      <c r="I20" s="225"/>
      <c r="J20" s="225"/>
      <c r="K20" s="226"/>
      <c r="L20" s="249"/>
    </row>
    <row r="21" spans="2:12" x14ac:dyDescent="0.2">
      <c r="B21" s="200" t="s">
        <v>22</v>
      </c>
      <c r="C21" s="201"/>
      <c r="D21" s="201"/>
      <c r="E21" s="13"/>
      <c r="F21" s="3"/>
      <c r="G21" s="10"/>
      <c r="H21" s="188"/>
      <c r="I21" s="188"/>
      <c r="J21" s="188"/>
      <c r="K21" s="229"/>
      <c r="L21" s="189"/>
    </row>
    <row r="22" spans="2:12" x14ac:dyDescent="0.2">
      <c r="B22" s="190" t="s">
        <v>112</v>
      </c>
      <c r="C22" s="215"/>
      <c r="D22" s="216"/>
      <c r="E22" s="13"/>
      <c r="F22" s="3"/>
      <c r="G22" s="10"/>
      <c r="H22" s="229"/>
      <c r="I22" s="308"/>
      <c r="J22" s="308"/>
      <c r="K22" s="308"/>
      <c r="L22" s="309"/>
    </row>
    <row r="23" spans="2:12" x14ac:dyDescent="0.2">
      <c r="B23" s="200" t="s">
        <v>139</v>
      </c>
      <c r="C23" s="201"/>
      <c r="D23" s="201"/>
      <c r="E23" s="13"/>
      <c r="F23" s="3"/>
      <c r="G23" s="10"/>
      <c r="H23" s="188"/>
      <c r="I23" s="188"/>
      <c r="J23" s="188"/>
      <c r="K23" s="229"/>
      <c r="L23" s="189"/>
    </row>
    <row r="24" spans="2:12" x14ac:dyDescent="0.2">
      <c r="B24" s="200" t="s">
        <v>157</v>
      </c>
      <c r="C24" s="201"/>
      <c r="D24" s="201"/>
      <c r="E24" s="13"/>
      <c r="F24" s="3"/>
      <c r="G24" s="10"/>
      <c r="H24" s="188"/>
      <c r="I24" s="188"/>
      <c r="J24" s="188"/>
      <c r="K24" s="229"/>
      <c r="L24" s="189"/>
    </row>
    <row r="25" spans="2:12" s="102" customFormat="1" ht="13.5" thickBot="1" x14ac:dyDescent="0.25">
      <c r="B25" s="310" t="s">
        <v>202</v>
      </c>
      <c r="C25" s="311"/>
      <c r="D25" s="311"/>
      <c r="E25" s="100"/>
      <c r="F25" s="101"/>
      <c r="G25" s="109"/>
      <c r="H25" s="312"/>
      <c r="I25" s="312"/>
      <c r="J25" s="312"/>
      <c r="K25" s="313"/>
      <c r="L25" s="314"/>
    </row>
    <row r="26" spans="2:12" ht="13.5" thickBot="1" x14ac:dyDescent="0.25">
      <c r="B26" s="315" t="s">
        <v>32</v>
      </c>
      <c r="C26" s="305"/>
      <c r="D26" s="305"/>
      <c r="E26" s="307"/>
      <c r="F26" s="315" t="s">
        <v>26</v>
      </c>
      <c r="G26" s="305"/>
      <c r="H26" s="305"/>
      <c r="I26" s="305"/>
      <c r="J26" s="305"/>
      <c r="K26" s="306"/>
      <c r="L26" s="307"/>
    </row>
    <row r="27" spans="2:12" x14ac:dyDescent="0.2">
      <c r="B27" s="60" t="s">
        <v>27</v>
      </c>
      <c r="C27" s="11" t="s">
        <v>14</v>
      </c>
      <c r="D27" s="11" t="s">
        <v>28</v>
      </c>
      <c r="E27" s="61" t="s">
        <v>16</v>
      </c>
      <c r="F27" s="316" t="s">
        <v>29</v>
      </c>
      <c r="G27" s="241"/>
      <c r="H27" s="241"/>
      <c r="I27" s="241"/>
      <c r="J27" s="11" t="s">
        <v>14</v>
      </c>
      <c r="K27" s="97" t="s">
        <v>28</v>
      </c>
      <c r="L27" s="98" t="s">
        <v>16</v>
      </c>
    </row>
    <row r="28" spans="2:12" x14ac:dyDescent="0.2">
      <c r="B28" s="5" t="s">
        <v>250</v>
      </c>
      <c r="C28" s="3"/>
      <c r="D28" s="6"/>
      <c r="E28" s="62"/>
      <c r="F28" s="200" t="s">
        <v>140</v>
      </c>
      <c r="G28" s="201"/>
      <c r="H28" s="201"/>
      <c r="I28" s="201"/>
      <c r="J28" s="3"/>
      <c r="K28" s="3"/>
      <c r="L28" s="7"/>
    </row>
    <row r="29" spans="2:12" x14ac:dyDescent="0.2">
      <c r="B29" s="5" t="s">
        <v>251</v>
      </c>
      <c r="C29" s="3"/>
      <c r="D29" s="6"/>
      <c r="E29" s="62"/>
      <c r="F29" s="200" t="s">
        <v>30</v>
      </c>
      <c r="G29" s="201"/>
      <c r="H29" s="201"/>
      <c r="I29" s="201"/>
      <c r="J29" s="3"/>
      <c r="K29" s="3"/>
      <c r="L29" s="7"/>
    </row>
    <row r="30" spans="2:12" ht="13.5" thickBot="1" x14ac:dyDescent="0.25">
      <c r="B30" s="20" t="s">
        <v>252</v>
      </c>
      <c r="C30" s="76"/>
      <c r="D30" s="76"/>
      <c r="E30" s="99"/>
      <c r="F30" s="300" t="s">
        <v>31</v>
      </c>
      <c r="G30" s="242"/>
      <c r="H30" s="242"/>
      <c r="I30" s="242"/>
      <c r="J30" s="76"/>
      <c r="K30" s="76"/>
      <c r="L30" s="99"/>
    </row>
    <row r="31" spans="2:12" ht="15.75" thickBot="1" x14ac:dyDescent="0.3">
      <c r="B31" s="301" t="s">
        <v>34</v>
      </c>
      <c r="C31" s="302"/>
      <c r="D31" s="302"/>
      <c r="E31" s="303"/>
      <c r="F31" s="303"/>
      <c r="G31" s="304" t="s">
        <v>43</v>
      </c>
      <c r="H31" s="305"/>
      <c r="I31" s="305"/>
      <c r="J31" s="305"/>
      <c r="K31" s="306"/>
      <c r="L31" s="307"/>
    </row>
    <row r="32" spans="2:12" x14ac:dyDescent="0.2">
      <c r="B32" s="222" t="s">
        <v>36</v>
      </c>
      <c r="C32" s="223"/>
      <c r="D32" s="224"/>
      <c r="E32" s="225" t="s">
        <v>37</v>
      </c>
      <c r="F32" s="225"/>
      <c r="G32" s="226"/>
      <c r="H32" s="227"/>
      <c r="I32" s="227"/>
      <c r="J32" s="228"/>
      <c r="K32" s="8" t="s">
        <v>38</v>
      </c>
      <c r="L32" s="9" t="s">
        <v>39</v>
      </c>
    </row>
    <row r="33" spans="2:12" ht="15" customHeight="1" x14ac:dyDescent="0.2">
      <c r="B33" s="200" t="s">
        <v>115</v>
      </c>
      <c r="C33" s="201"/>
      <c r="D33" s="201"/>
      <c r="E33" s="188"/>
      <c r="F33" s="188"/>
      <c r="G33" s="209" t="s">
        <v>40</v>
      </c>
      <c r="H33" s="210"/>
      <c r="I33" s="210"/>
      <c r="J33" s="211"/>
      <c r="K33" s="205"/>
      <c r="L33" s="207"/>
    </row>
    <row r="34" spans="2:12" ht="15.75" customHeight="1" thickBot="1" x14ac:dyDescent="0.25">
      <c r="B34" s="202" t="s">
        <v>52</v>
      </c>
      <c r="C34" s="203"/>
      <c r="D34" s="203"/>
      <c r="E34" s="204"/>
      <c r="F34" s="204"/>
      <c r="G34" s="212"/>
      <c r="H34" s="213"/>
      <c r="I34" s="213"/>
      <c r="J34" s="214"/>
      <c r="K34" s="206"/>
      <c r="L34" s="208"/>
    </row>
    <row r="35" spans="2:12" ht="12.75" customHeight="1" x14ac:dyDescent="0.2">
      <c r="B35" s="191" t="s">
        <v>41</v>
      </c>
      <c r="C35" s="192"/>
      <c r="D35" s="294"/>
      <c r="E35" s="297" t="s">
        <v>199</v>
      </c>
      <c r="F35" s="192"/>
      <c r="G35" s="192"/>
      <c r="H35" s="294"/>
      <c r="I35" s="297" t="s">
        <v>93</v>
      </c>
      <c r="J35" s="192"/>
      <c r="K35" s="192"/>
      <c r="L35" s="193"/>
    </row>
    <row r="36" spans="2:12" ht="15" customHeight="1" x14ac:dyDescent="0.2">
      <c r="B36" s="194"/>
      <c r="C36" s="195"/>
      <c r="D36" s="295"/>
      <c r="E36" s="298"/>
      <c r="F36" s="195"/>
      <c r="G36" s="195"/>
      <c r="H36" s="295"/>
      <c r="I36" s="298"/>
      <c r="J36" s="195"/>
      <c r="K36" s="195"/>
      <c r="L36" s="196"/>
    </row>
    <row r="37" spans="2:12" ht="15" customHeight="1" x14ac:dyDescent="0.2">
      <c r="B37" s="194"/>
      <c r="C37" s="195"/>
      <c r="D37" s="295"/>
      <c r="E37" s="298"/>
      <c r="F37" s="195"/>
      <c r="G37" s="195"/>
      <c r="H37" s="295"/>
      <c r="I37" s="298"/>
      <c r="J37" s="195"/>
      <c r="K37" s="195"/>
      <c r="L37" s="196"/>
    </row>
    <row r="38" spans="2:12" ht="41.25" customHeight="1" thickBot="1" x14ac:dyDescent="0.25">
      <c r="B38" s="197"/>
      <c r="C38" s="198"/>
      <c r="D38" s="296"/>
      <c r="E38" s="299"/>
      <c r="F38" s="198"/>
      <c r="G38" s="198"/>
      <c r="H38" s="296"/>
      <c r="I38" s="299"/>
      <c r="J38" s="198"/>
      <c r="K38" s="198"/>
      <c r="L38" s="199"/>
    </row>
  </sheetData>
  <mergeCells count="73">
    <mergeCell ref="C6:G6"/>
    <mergeCell ref="H6:J6"/>
    <mergeCell ref="K6:L6"/>
    <mergeCell ref="B4:B5"/>
    <mergeCell ref="C4:E5"/>
    <mergeCell ref="F4:I4"/>
    <mergeCell ref="K4:L4"/>
    <mergeCell ref="F5:G5"/>
    <mergeCell ref="H5:L5"/>
    <mergeCell ref="C1:H1"/>
    <mergeCell ref="I1:L1"/>
    <mergeCell ref="B2:L2"/>
    <mergeCell ref="B3:I3"/>
    <mergeCell ref="J3:K3"/>
    <mergeCell ref="C7:G7"/>
    <mergeCell ref="H7:J7"/>
    <mergeCell ref="K7:L7"/>
    <mergeCell ref="E9:G9"/>
    <mergeCell ref="H9:L10"/>
    <mergeCell ref="B10:D10"/>
    <mergeCell ref="B8:L8"/>
    <mergeCell ref="B9:D9"/>
    <mergeCell ref="B12:D12"/>
    <mergeCell ref="H12:L12"/>
    <mergeCell ref="B11:D11"/>
    <mergeCell ref="H11:L11"/>
    <mergeCell ref="B13:D13"/>
    <mergeCell ref="H13:L13"/>
    <mergeCell ref="B14:D14"/>
    <mergeCell ref="H14:L14"/>
    <mergeCell ref="B15:D15"/>
    <mergeCell ref="H15:L15"/>
    <mergeCell ref="B16:D16"/>
    <mergeCell ref="H16:L16"/>
    <mergeCell ref="B17:D17"/>
    <mergeCell ref="H17:L17"/>
    <mergeCell ref="B18:D18"/>
    <mergeCell ref="H18:L18"/>
    <mergeCell ref="B19:D19"/>
    <mergeCell ref="H19:L19"/>
    <mergeCell ref="B20:D20"/>
    <mergeCell ref="H20:L20"/>
    <mergeCell ref="B21:D21"/>
    <mergeCell ref="H21:L21"/>
    <mergeCell ref="F28:I28"/>
    <mergeCell ref="B22:D22"/>
    <mergeCell ref="H22:L22"/>
    <mergeCell ref="B23:D23"/>
    <mergeCell ref="H23:L23"/>
    <mergeCell ref="B24:D24"/>
    <mergeCell ref="H24:L24"/>
    <mergeCell ref="B25:D25"/>
    <mergeCell ref="H25:L25"/>
    <mergeCell ref="B26:E26"/>
    <mergeCell ref="F26:L26"/>
    <mergeCell ref="F27:I27"/>
    <mergeCell ref="F29:I29"/>
    <mergeCell ref="F30:I30"/>
    <mergeCell ref="B31:F31"/>
    <mergeCell ref="G31:L31"/>
    <mergeCell ref="B32:D32"/>
    <mergeCell ref="E32:F32"/>
    <mergeCell ref="G32:J32"/>
    <mergeCell ref="B35:D38"/>
    <mergeCell ref="E35:H38"/>
    <mergeCell ref="I35:L38"/>
    <mergeCell ref="B33:D33"/>
    <mergeCell ref="E33:F33"/>
    <mergeCell ref="B34:D34"/>
    <mergeCell ref="E34:F34"/>
    <mergeCell ref="G33:J34"/>
    <mergeCell ref="K33:K34"/>
    <mergeCell ref="L33:L34"/>
  </mergeCells>
  <conditionalFormatting sqref="F4:I4 H5:L5 C6:G7 K6:L6">
    <cfRule type="cellIs" dxfId="7" priority="1" operator="equal">
      <formula>0</formula>
    </cfRule>
  </conditionalFormatting>
  <pageMargins left="0.7" right="0.7" top="0.75" bottom="0.75" header="0.3" footer="0.3"/>
  <pageSetup paperSize="9" scale="9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rgb="FF00B050"/>
  </sheetPr>
  <dimension ref="C1:M23"/>
  <sheetViews>
    <sheetView zoomScale="110" zoomScaleNormal="110" workbookViewId="0">
      <selection activeCell="B1" sqref="B1"/>
    </sheetView>
  </sheetViews>
  <sheetFormatPr baseColWidth="10" defaultRowHeight="12.75" x14ac:dyDescent="0.2"/>
  <cols>
    <col min="1" max="1" width="0.7109375" style="2" customWidth="1"/>
    <col min="2" max="2" width="1.28515625" style="2" customWidth="1"/>
    <col min="3" max="3" width="18.85546875" style="2" customWidth="1"/>
    <col min="4" max="4" width="13.42578125" style="2" customWidth="1"/>
    <col min="5" max="5" width="11.7109375" style="2" customWidth="1"/>
    <col min="6" max="6" width="5" style="2" customWidth="1"/>
    <col min="7" max="7" width="5.140625" style="2" customWidth="1"/>
    <col min="8" max="8" width="5.28515625" style="2" customWidth="1"/>
    <col min="9" max="9" width="6.28515625" style="2" customWidth="1"/>
    <col min="10" max="10" width="12.28515625" style="2" customWidth="1"/>
    <col min="11" max="11" width="7.5703125" style="2" customWidth="1"/>
    <col min="12" max="12" width="7" style="2" customWidth="1"/>
    <col min="13" max="13" width="11.5703125" style="2" customWidth="1"/>
    <col min="14" max="257" width="11.42578125" style="2"/>
    <col min="258" max="258" width="2.5703125" style="2" customWidth="1"/>
    <col min="259" max="259" width="13.85546875" style="2" customWidth="1"/>
    <col min="260" max="260" width="13.42578125" style="2" customWidth="1"/>
    <col min="261" max="261" width="14.7109375" style="2" customWidth="1"/>
    <col min="262" max="262" width="5" style="2" customWidth="1"/>
    <col min="263" max="263" width="6.140625" style="2" customWidth="1"/>
    <col min="264" max="264" width="4" style="2" customWidth="1"/>
    <col min="265" max="265" width="7.140625" style="2" customWidth="1"/>
    <col min="266" max="266" width="12.28515625" style="2" customWidth="1"/>
    <col min="267" max="267" width="7.140625" style="2" bestFit="1" customWidth="1"/>
    <col min="268" max="268" width="7.42578125" style="2" customWidth="1"/>
    <col min="269" max="513" width="11.42578125" style="2"/>
    <col min="514" max="514" width="2.5703125" style="2" customWidth="1"/>
    <col min="515" max="515" width="13.85546875" style="2" customWidth="1"/>
    <col min="516" max="516" width="13.42578125" style="2" customWidth="1"/>
    <col min="517" max="517" width="14.7109375" style="2" customWidth="1"/>
    <col min="518" max="518" width="5" style="2" customWidth="1"/>
    <col min="519" max="519" width="6.140625" style="2" customWidth="1"/>
    <col min="520" max="520" width="4" style="2" customWidth="1"/>
    <col min="521" max="521" width="7.140625" style="2" customWidth="1"/>
    <col min="522" max="522" width="12.28515625" style="2" customWidth="1"/>
    <col min="523" max="523" width="7.140625" style="2" bestFit="1" customWidth="1"/>
    <col min="524" max="524" width="7.42578125" style="2" customWidth="1"/>
    <col min="525" max="769" width="11.42578125" style="2"/>
    <col min="770" max="770" width="2.5703125" style="2" customWidth="1"/>
    <col min="771" max="771" width="13.85546875" style="2" customWidth="1"/>
    <col min="772" max="772" width="13.42578125" style="2" customWidth="1"/>
    <col min="773" max="773" width="14.7109375" style="2" customWidth="1"/>
    <col min="774" max="774" width="5" style="2" customWidth="1"/>
    <col min="775" max="775" width="6.140625" style="2" customWidth="1"/>
    <col min="776" max="776" width="4" style="2" customWidth="1"/>
    <col min="777" max="777" width="7.140625" style="2" customWidth="1"/>
    <col min="778" max="778" width="12.28515625" style="2" customWidth="1"/>
    <col min="779" max="779" width="7.140625" style="2" bestFit="1" customWidth="1"/>
    <col min="780" max="780" width="7.42578125" style="2" customWidth="1"/>
    <col min="781" max="1025" width="11.42578125" style="2"/>
    <col min="1026" max="1026" width="2.5703125" style="2" customWidth="1"/>
    <col min="1027" max="1027" width="13.85546875" style="2" customWidth="1"/>
    <col min="1028" max="1028" width="13.42578125" style="2" customWidth="1"/>
    <col min="1029" max="1029" width="14.7109375" style="2" customWidth="1"/>
    <col min="1030" max="1030" width="5" style="2" customWidth="1"/>
    <col min="1031" max="1031" width="6.140625" style="2" customWidth="1"/>
    <col min="1032" max="1032" width="4" style="2" customWidth="1"/>
    <col min="1033" max="1033" width="7.140625" style="2" customWidth="1"/>
    <col min="1034" max="1034" width="12.28515625" style="2" customWidth="1"/>
    <col min="1035" max="1035" width="7.140625" style="2" bestFit="1" customWidth="1"/>
    <col min="1036" max="1036" width="7.42578125" style="2" customWidth="1"/>
    <col min="1037" max="1281" width="11.42578125" style="2"/>
    <col min="1282" max="1282" width="2.5703125" style="2" customWidth="1"/>
    <col min="1283" max="1283" width="13.85546875" style="2" customWidth="1"/>
    <col min="1284" max="1284" width="13.42578125" style="2" customWidth="1"/>
    <col min="1285" max="1285" width="14.7109375" style="2" customWidth="1"/>
    <col min="1286" max="1286" width="5" style="2" customWidth="1"/>
    <col min="1287" max="1287" width="6.140625" style="2" customWidth="1"/>
    <col min="1288" max="1288" width="4" style="2" customWidth="1"/>
    <col min="1289" max="1289" width="7.140625" style="2" customWidth="1"/>
    <col min="1290" max="1290" width="12.28515625" style="2" customWidth="1"/>
    <col min="1291" max="1291" width="7.140625" style="2" bestFit="1" customWidth="1"/>
    <col min="1292" max="1292" width="7.42578125" style="2" customWidth="1"/>
    <col min="1293" max="1537" width="11.42578125" style="2"/>
    <col min="1538" max="1538" width="2.5703125" style="2" customWidth="1"/>
    <col min="1539" max="1539" width="13.85546875" style="2" customWidth="1"/>
    <col min="1540" max="1540" width="13.42578125" style="2" customWidth="1"/>
    <col min="1541" max="1541" width="14.7109375" style="2" customWidth="1"/>
    <col min="1542" max="1542" width="5" style="2" customWidth="1"/>
    <col min="1543" max="1543" width="6.140625" style="2" customWidth="1"/>
    <col min="1544" max="1544" width="4" style="2" customWidth="1"/>
    <col min="1545" max="1545" width="7.140625" style="2" customWidth="1"/>
    <col min="1546" max="1546" width="12.28515625" style="2" customWidth="1"/>
    <col min="1547" max="1547" width="7.140625" style="2" bestFit="1" customWidth="1"/>
    <col min="1548" max="1548" width="7.42578125" style="2" customWidth="1"/>
    <col min="1549" max="1793" width="11.42578125" style="2"/>
    <col min="1794" max="1794" width="2.5703125" style="2" customWidth="1"/>
    <col min="1795" max="1795" width="13.85546875" style="2" customWidth="1"/>
    <col min="1796" max="1796" width="13.42578125" style="2" customWidth="1"/>
    <col min="1797" max="1797" width="14.7109375" style="2" customWidth="1"/>
    <col min="1798" max="1798" width="5" style="2" customWidth="1"/>
    <col min="1799" max="1799" width="6.140625" style="2" customWidth="1"/>
    <col min="1800" max="1800" width="4" style="2" customWidth="1"/>
    <col min="1801" max="1801" width="7.140625" style="2" customWidth="1"/>
    <col min="1802" max="1802" width="12.28515625" style="2" customWidth="1"/>
    <col min="1803" max="1803" width="7.140625" style="2" bestFit="1" customWidth="1"/>
    <col min="1804" max="1804" width="7.42578125" style="2" customWidth="1"/>
    <col min="1805" max="2049" width="11.42578125" style="2"/>
    <col min="2050" max="2050" width="2.5703125" style="2" customWidth="1"/>
    <col min="2051" max="2051" width="13.85546875" style="2" customWidth="1"/>
    <col min="2052" max="2052" width="13.42578125" style="2" customWidth="1"/>
    <col min="2053" max="2053" width="14.7109375" style="2" customWidth="1"/>
    <col min="2054" max="2054" width="5" style="2" customWidth="1"/>
    <col min="2055" max="2055" width="6.140625" style="2" customWidth="1"/>
    <col min="2056" max="2056" width="4" style="2" customWidth="1"/>
    <col min="2057" max="2057" width="7.140625" style="2" customWidth="1"/>
    <col min="2058" max="2058" width="12.28515625" style="2" customWidth="1"/>
    <col min="2059" max="2059" width="7.140625" style="2" bestFit="1" customWidth="1"/>
    <col min="2060" max="2060" width="7.42578125" style="2" customWidth="1"/>
    <col min="2061" max="2305" width="11.42578125" style="2"/>
    <col min="2306" max="2306" width="2.5703125" style="2" customWidth="1"/>
    <col min="2307" max="2307" width="13.85546875" style="2" customWidth="1"/>
    <col min="2308" max="2308" width="13.42578125" style="2" customWidth="1"/>
    <col min="2309" max="2309" width="14.7109375" style="2" customWidth="1"/>
    <col min="2310" max="2310" width="5" style="2" customWidth="1"/>
    <col min="2311" max="2311" width="6.140625" style="2" customWidth="1"/>
    <col min="2312" max="2312" width="4" style="2" customWidth="1"/>
    <col min="2313" max="2313" width="7.140625" style="2" customWidth="1"/>
    <col min="2314" max="2314" width="12.28515625" style="2" customWidth="1"/>
    <col min="2315" max="2315" width="7.140625" style="2" bestFit="1" customWidth="1"/>
    <col min="2316" max="2316" width="7.42578125" style="2" customWidth="1"/>
    <col min="2317" max="2561" width="11.42578125" style="2"/>
    <col min="2562" max="2562" width="2.5703125" style="2" customWidth="1"/>
    <col min="2563" max="2563" width="13.85546875" style="2" customWidth="1"/>
    <col min="2564" max="2564" width="13.42578125" style="2" customWidth="1"/>
    <col min="2565" max="2565" width="14.7109375" style="2" customWidth="1"/>
    <col min="2566" max="2566" width="5" style="2" customWidth="1"/>
    <col min="2567" max="2567" width="6.140625" style="2" customWidth="1"/>
    <col min="2568" max="2568" width="4" style="2" customWidth="1"/>
    <col min="2569" max="2569" width="7.140625" style="2" customWidth="1"/>
    <col min="2570" max="2570" width="12.28515625" style="2" customWidth="1"/>
    <col min="2571" max="2571" width="7.140625" style="2" bestFit="1" customWidth="1"/>
    <col min="2572" max="2572" width="7.42578125" style="2" customWidth="1"/>
    <col min="2573" max="2817" width="11.42578125" style="2"/>
    <col min="2818" max="2818" width="2.5703125" style="2" customWidth="1"/>
    <col min="2819" max="2819" width="13.85546875" style="2" customWidth="1"/>
    <col min="2820" max="2820" width="13.42578125" style="2" customWidth="1"/>
    <col min="2821" max="2821" width="14.7109375" style="2" customWidth="1"/>
    <col min="2822" max="2822" width="5" style="2" customWidth="1"/>
    <col min="2823" max="2823" width="6.140625" style="2" customWidth="1"/>
    <col min="2824" max="2824" width="4" style="2" customWidth="1"/>
    <col min="2825" max="2825" width="7.140625" style="2" customWidth="1"/>
    <col min="2826" max="2826" width="12.28515625" style="2" customWidth="1"/>
    <col min="2827" max="2827" width="7.140625" style="2" bestFit="1" customWidth="1"/>
    <col min="2828" max="2828" width="7.42578125" style="2" customWidth="1"/>
    <col min="2829" max="3073" width="11.42578125" style="2"/>
    <col min="3074" max="3074" width="2.5703125" style="2" customWidth="1"/>
    <col min="3075" max="3075" width="13.85546875" style="2" customWidth="1"/>
    <col min="3076" max="3076" width="13.42578125" style="2" customWidth="1"/>
    <col min="3077" max="3077" width="14.7109375" style="2" customWidth="1"/>
    <col min="3078" max="3078" width="5" style="2" customWidth="1"/>
    <col min="3079" max="3079" width="6.140625" style="2" customWidth="1"/>
    <col min="3080" max="3080" width="4" style="2" customWidth="1"/>
    <col min="3081" max="3081" width="7.140625" style="2" customWidth="1"/>
    <col min="3082" max="3082" width="12.28515625" style="2" customWidth="1"/>
    <col min="3083" max="3083" width="7.140625" style="2" bestFit="1" customWidth="1"/>
    <col min="3084" max="3084" width="7.42578125" style="2" customWidth="1"/>
    <col min="3085" max="3329" width="11.42578125" style="2"/>
    <col min="3330" max="3330" width="2.5703125" style="2" customWidth="1"/>
    <col min="3331" max="3331" width="13.85546875" style="2" customWidth="1"/>
    <col min="3332" max="3332" width="13.42578125" style="2" customWidth="1"/>
    <col min="3333" max="3333" width="14.7109375" style="2" customWidth="1"/>
    <col min="3334" max="3334" width="5" style="2" customWidth="1"/>
    <col min="3335" max="3335" width="6.140625" style="2" customWidth="1"/>
    <col min="3336" max="3336" width="4" style="2" customWidth="1"/>
    <col min="3337" max="3337" width="7.140625" style="2" customWidth="1"/>
    <col min="3338" max="3338" width="12.28515625" style="2" customWidth="1"/>
    <col min="3339" max="3339" width="7.140625" style="2" bestFit="1" customWidth="1"/>
    <col min="3340" max="3340" width="7.42578125" style="2" customWidth="1"/>
    <col min="3341" max="3585" width="11.42578125" style="2"/>
    <col min="3586" max="3586" width="2.5703125" style="2" customWidth="1"/>
    <col min="3587" max="3587" width="13.85546875" style="2" customWidth="1"/>
    <col min="3588" max="3588" width="13.42578125" style="2" customWidth="1"/>
    <col min="3589" max="3589" width="14.7109375" style="2" customWidth="1"/>
    <col min="3590" max="3590" width="5" style="2" customWidth="1"/>
    <col min="3591" max="3591" width="6.140625" style="2" customWidth="1"/>
    <col min="3592" max="3592" width="4" style="2" customWidth="1"/>
    <col min="3593" max="3593" width="7.140625" style="2" customWidth="1"/>
    <col min="3594" max="3594" width="12.28515625" style="2" customWidth="1"/>
    <col min="3595" max="3595" width="7.140625" style="2" bestFit="1" customWidth="1"/>
    <col min="3596" max="3596" width="7.42578125" style="2" customWidth="1"/>
    <col min="3597" max="3841" width="11.42578125" style="2"/>
    <col min="3842" max="3842" width="2.5703125" style="2" customWidth="1"/>
    <col min="3843" max="3843" width="13.85546875" style="2" customWidth="1"/>
    <col min="3844" max="3844" width="13.42578125" style="2" customWidth="1"/>
    <col min="3845" max="3845" width="14.7109375" style="2" customWidth="1"/>
    <col min="3846" max="3846" width="5" style="2" customWidth="1"/>
    <col min="3847" max="3847" width="6.140625" style="2" customWidth="1"/>
    <col min="3848" max="3848" width="4" style="2" customWidth="1"/>
    <col min="3849" max="3849" width="7.140625" style="2" customWidth="1"/>
    <col min="3850" max="3850" width="12.28515625" style="2" customWidth="1"/>
    <col min="3851" max="3851" width="7.140625" style="2" bestFit="1" customWidth="1"/>
    <col min="3852" max="3852" width="7.42578125" style="2" customWidth="1"/>
    <col min="3853" max="4097" width="11.42578125" style="2"/>
    <col min="4098" max="4098" width="2.5703125" style="2" customWidth="1"/>
    <col min="4099" max="4099" width="13.85546875" style="2" customWidth="1"/>
    <col min="4100" max="4100" width="13.42578125" style="2" customWidth="1"/>
    <col min="4101" max="4101" width="14.7109375" style="2" customWidth="1"/>
    <col min="4102" max="4102" width="5" style="2" customWidth="1"/>
    <col min="4103" max="4103" width="6.140625" style="2" customWidth="1"/>
    <col min="4104" max="4104" width="4" style="2" customWidth="1"/>
    <col min="4105" max="4105" width="7.140625" style="2" customWidth="1"/>
    <col min="4106" max="4106" width="12.28515625" style="2" customWidth="1"/>
    <col min="4107" max="4107" width="7.140625" style="2" bestFit="1" customWidth="1"/>
    <col min="4108" max="4108" width="7.42578125" style="2" customWidth="1"/>
    <col min="4109" max="4353" width="11.42578125" style="2"/>
    <col min="4354" max="4354" width="2.5703125" style="2" customWidth="1"/>
    <col min="4355" max="4355" width="13.85546875" style="2" customWidth="1"/>
    <col min="4356" max="4356" width="13.42578125" style="2" customWidth="1"/>
    <col min="4357" max="4357" width="14.7109375" style="2" customWidth="1"/>
    <col min="4358" max="4358" width="5" style="2" customWidth="1"/>
    <col min="4359" max="4359" width="6.140625" style="2" customWidth="1"/>
    <col min="4360" max="4360" width="4" style="2" customWidth="1"/>
    <col min="4361" max="4361" width="7.140625" style="2" customWidth="1"/>
    <col min="4362" max="4362" width="12.28515625" style="2" customWidth="1"/>
    <col min="4363" max="4363" width="7.140625" style="2" bestFit="1" customWidth="1"/>
    <col min="4364" max="4364" width="7.42578125" style="2" customWidth="1"/>
    <col min="4365" max="4609" width="11.42578125" style="2"/>
    <col min="4610" max="4610" width="2.5703125" style="2" customWidth="1"/>
    <col min="4611" max="4611" width="13.85546875" style="2" customWidth="1"/>
    <col min="4612" max="4612" width="13.42578125" style="2" customWidth="1"/>
    <col min="4613" max="4613" width="14.7109375" style="2" customWidth="1"/>
    <col min="4614" max="4614" width="5" style="2" customWidth="1"/>
    <col min="4615" max="4615" width="6.140625" style="2" customWidth="1"/>
    <col min="4616" max="4616" width="4" style="2" customWidth="1"/>
    <col min="4617" max="4617" width="7.140625" style="2" customWidth="1"/>
    <col min="4618" max="4618" width="12.28515625" style="2" customWidth="1"/>
    <col min="4619" max="4619" width="7.140625" style="2" bestFit="1" customWidth="1"/>
    <col min="4620" max="4620" width="7.42578125" style="2" customWidth="1"/>
    <col min="4621" max="4865" width="11.42578125" style="2"/>
    <col min="4866" max="4866" width="2.5703125" style="2" customWidth="1"/>
    <col min="4867" max="4867" width="13.85546875" style="2" customWidth="1"/>
    <col min="4868" max="4868" width="13.42578125" style="2" customWidth="1"/>
    <col min="4869" max="4869" width="14.7109375" style="2" customWidth="1"/>
    <col min="4870" max="4870" width="5" style="2" customWidth="1"/>
    <col min="4871" max="4871" width="6.140625" style="2" customWidth="1"/>
    <col min="4872" max="4872" width="4" style="2" customWidth="1"/>
    <col min="4873" max="4873" width="7.140625" style="2" customWidth="1"/>
    <col min="4874" max="4874" width="12.28515625" style="2" customWidth="1"/>
    <col min="4875" max="4875" width="7.140625" style="2" bestFit="1" customWidth="1"/>
    <col min="4876" max="4876" width="7.42578125" style="2" customWidth="1"/>
    <col min="4877" max="5121" width="11.42578125" style="2"/>
    <col min="5122" max="5122" width="2.5703125" style="2" customWidth="1"/>
    <col min="5123" max="5123" width="13.85546875" style="2" customWidth="1"/>
    <col min="5124" max="5124" width="13.42578125" style="2" customWidth="1"/>
    <col min="5125" max="5125" width="14.7109375" style="2" customWidth="1"/>
    <col min="5126" max="5126" width="5" style="2" customWidth="1"/>
    <col min="5127" max="5127" width="6.140625" style="2" customWidth="1"/>
    <col min="5128" max="5128" width="4" style="2" customWidth="1"/>
    <col min="5129" max="5129" width="7.140625" style="2" customWidth="1"/>
    <col min="5130" max="5130" width="12.28515625" style="2" customWidth="1"/>
    <col min="5131" max="5131" width="7.140625" style="2" bestFit="1" customWidth="1"/>
    <col min="5132" max="5132" width="7.42578125" style="2" customWidth="1"/>
    <col min="5133" max="5377" width="11.42578125" style="2"/>
    <col min="5378" max="5378" width="2.5703125" style="2" customWidth="1"/>
    <col min="5379" max="5379" width="13.85546875" style="2" customWidth="1"/>
    <col min="5380" max="5380" width="13.42578125" style="2" customWidth="1"/>
    <col min="5381" max="5381" width="14.7109375" style="2" customWidth="1"/>
    <col min="5382" max="5382" width="5" style="2" customWidth="1"/>
    <col min="5383" max="5383" width="6.140625" style="2" customWidth="1"/>
    <col min="5384" max="5384" width="4" style="2" customWidth="1"/>
    <col min="5385" max="5385" width="7.140625" style="2" customWidth="1"/>
    <col min="5386" max="5386" width="12.28515625" style="2" customWidth="1"/>
    <col min="5387" max="5387" width="7.140625" style="2" bestFit="1" customWidth="1"/>
    <col min="5388" max="5388" width="7.42578125" style="2" customWidth="1"/>
    <col min="5389" max="5633" width="11.42578125" style="2"/>
    <col min="5634" max="5634" width="2.5703125" style="2" customWidth="1"/>
    <col min="5635" max="5635" width="13.85546875" style="2" customWidth="1"/>
    <col min="5636" max="5636" width="13.42578125" style="2" customWidth="1"/>
    <col min="5637" max="5637" width="14.7109375" style="2" customWidth="1"/>
    <col min="5638" max="5638" width="5" style="2" customWidth="1"/>
    <col min="5639" max="5639" width="6.140625" style="2" customWidth="1"/>
    <col min="5640" max="5640" width="4" style="2" customWidth="1"/>
    <col min="5641" max="5641" width="7.140625" style="2" customWidth="1"/>
    <col min="5642" max="5642" width="12.28515625" style="2" customWidth="1"/>
    <col min="5643" max="5643" width="7.140625" style="2" bestFit="1" customWidth="1"/>
    <col min="5644" max="5644" width="7.42578125" style="2" customWidth="1"/>
    <col min="5645" max="5889" width="11.42578125" style="2"/>
    <col min="5890" max="5890" width="2.5703125" style="2" customWidth="1"/>
    <col min="5891" max="5891" width="13.85546875" style="2" customWidth="1"/>
    <col min="5892" max="5892" width="13.42578125" style="2" customWidth="1"/>
    <col min="5893" max="5893" width="14.7109375" style="2" customWidth="1"/>
    <col min="5894" max="5894" width="5" style="2" customWidth="1"/>
    <col min="5895" max="5895" width="6.140625" style="2" customWidth="1"/>
    <col min="5896" max="5896" width="4" style="2" customWidth="1"/>
    <col min="5897" max="5897" width="7.140625" style="2" customWidth="1"/>
    <col min="5898" max="5898" width="12.28515625" style="2" customWidth="1"/>
    <col min="5899" max="5899" width="7.140625" style="2" bestFit="1" customWidth="1"/>
    <col min="5900" max="5900" width="7.42578125" style="2" customWidth="1"/>
    <col min="5901" max="6145" width="11.42578125" style="2"/>
    <col min="6146" max="6146" width="2.5703125" style="2" customWidth="1"/>
    <col min="6147" max="6147" width="13.85546875" style="2" customWidth="1"/>
    <col min="6148" max="6148" width="13.42578125" style="2" customWidth="1"/>
    <col min="6149" max="6149" width="14.7109375" style="2" customWidth="1"/>
    <col min="6150" max="6150" width="5" style="2" customWidth="1"/>
    <col min="6151" max="6151" width="6.140625" style="2" customWidth="1"/>
    <col min="6152" max="6152" width="4" style="2" customWidth="1"/>
    <col min="6153" max="6153" width="7.140625" style="2" customWidth="1"/>
    <col min="6154" max="6154" width="12.28515625" style="2" customWidth="1"/>
    <col min="6155" max="6155" width="7.140625" style="2" bestFit="1" customWidth="1"/>
    <col min="6156" max="6156" width="7.42578125" style="2" customWidth="1"/>
    <col min="6157" max="6401" width="11.42578125" style="2"/>
    <col min="6402" max="6402" width="2.5703125" style="2" customWidth="1"/>
    <col min="6403" max="6403" width="13.85546875" style="2" customWidth="1"/>
    <col min="6404" max="6404" width="13.42578125" style="2" customWidth="1"/>
    <col min="6405" max="6405" width="14.7109375" style="2" customWidth="1"/>
    <col min="6406" max="6406" width="5" style="2" customWidth="1"/>
    <col min="6407" max="6407" width="6.140625" style="2" customWidth="1"/>
    <col min="6408" max="6408" width="4" style="2" customWidth="1"/>
    <col min="6409" max="6409" width="7.140625" style="2" customWidth="1"/>
    <col min="6410" max="6410" width="12.28515625" style="2" customWidth="1"/>
    <col min="6411" max="6411" width="7.140625" style="2" bestFit="1" customWidth="1"/>
    <col min="6412" max="6412" width="7.42578125" style="2" customWidth="1"/>
    <col min="6413" max="6657" width="11.42578125" style="2"/>
    <col min="6658" max="6658" width="2.5703125" style="2" customWidth="1"/>
    <col min="6659" max="6659" width="13.85546875" style="2" customWidth="1"/>
    <col min="6660" max="6660" width="13.42578125" style="2" customWidth="1"/>
    <col min="6661" max="6661" width="14.7109375" style="2" customWidth="1"/>
    <col min="6662" max="6662" width="5" style="2" customWidth="1"/>
    <col min="6663" max="6663" width="6.140625" style="2" customWidth="1"/>
    <col min="6664" max="6664" width="4" style="2" customWidth="1"/>
    <col min="6665" max="6665" width="7.140625" style="2" customWidth="1"/>
    <col min="6666" max="6666" width="12.28515625" style="2" customWidth="1"/>
    <col min="6667" max="6667" width="7.140625" style="2" bestFit="1" customWidth="1"/>
    <col min="6668" max="6668" width="7.42578125" style="2" customWidth="1"/>
    <col min="6669" max="6913" width="11.42578125" style="2"/>
    <col min="6914" max="6914" width="2.5703125" style="2" customWidth="1"/>
    <col min="6915" max="6915" width="13.85546875" style="2" customWidth="1"/>
    <col min="6916" max="6916" width="13.42578125" style="2" customWidth="1"/>
    <col min="6917" max="6917" width="14.7109375" style="2" customWidth="1"/>
    <col min="6918" max="6918" width="5" style="2" customWidth="1"/>
    <col min="6919" max="6919" width="6.140625" style="2" customWidth="1"/>
    <col min="6920" max="6920" width="4" style="2" customWidth="1"/>
    <col min="6921" max="6921" width="7.140625" style="2" customWidth="1"/>
    <col min="6922" max="6922" width="12.28515625" style="2" customWidth="1"/>
    <col min="6923" max="6923" width="7.140625" style="2" bestFit="1" customWidth="1"/>
    <col min="6924" max="6924" width="7.42578125" style="2" customWidth="1"/>
    <col min="6925" max="7169" width="11.42578125" style="2"/>
    <col min="7170" max="7170" width="2.5703125" style="2" customWidth="1"/>
    <col min="7171" max="7171" width="13.85546875" style="2" customWidth="1"/>
    <col min="7172" max="7172" width="13.42578125" style="2" customWidth="1"/>
    <col min="7173" max="7173" width="14.7109375" style="2" customWidth="1"/>
    <col min="7174" max="7174" width="5" style="2" customWidth="1"/>
    <col min="7175" max="7175" width="6.140625" style="2" customWidth="1"/>
    <col min="7176" max="7176" width="4" style="2" customWidth="1"/>
    <col min="7177" max="7177" width="7.140625" style="2" customWidth="1"/>
    <col min="7178" max="7178" width="12.28515625" style="2" customWidth="1"/>
    <col min="7179" max="7179" width="7.140625" style="2" bestFit="1" customWidth="1"/>
    <col min="7180" max="7180" width="7.42578125" style="2" customWidth="1"/>
    <col min="7181" max="7425" width="11.42578125" style="2"/>
    <col min="7426" max="7426" width="2.5703125" style="2" customWidth="1"/>
    <col min="7427" max="7427" width="13.85546875" style="2" customWidth="1"/>
    <col min="7428" max="7428" width="13.42578125" style="2" customWidth="1"/>
    <col min="7429" max="7429" width="14.7109375" style="2" customWidth="1"/>
    <col min="7430" max="7430" width="5" style="2" customWidth="1"/>
    <col min="7431" max="7431" width="6.140625" style="2" customWidth="1"/>
    <col min="7432" max="7432" width="4" style="2" customWidth="1"/>
    <col min="7433" max="7433" width="7.140625" style="2" customWidth="1"/>
    <col min="7434" max="7434" width="12.28515625" style="2" customWidth="1"/>
    <col min="7435" max="7435" width="7.140625" style="2" bestFit="1" customWidth="1"/>
    <col min="7436" max="7436" width="7.42578125" style="2" customWidth="1"/>
    <col min="7437" max="7681" width="11.42578125" style="2"/>
    <col min="7682" max="7682" width="2.5703125" style="2" customWidth="1"/>
    <col min="7683" max="7683" width="13.85546875" style="2" customWidth="1"/>
    <col min="7684" max="7684" width="13.42578125" style="2" customWidth="1"/>
    <col min="7685" max="7685" width="14.7109375" style="2" customWidth="1"/>
    <col min="7686" max="7686" width="5" style="2" customWidth="1"/>
    <col min="7687" max="7687" width="6.140625" style="2" customWidth="1"/>
    <col min="7688" max="7688" width="4" style="2" customWidth="1"/>
    <col min="7689" max="7689" width="7.140625" style="2" customWidth="1"/>
    <col min="7690" max="7690" width="12.28515625" style="2" customWidth="1"/>
    <col min="7691" max="7691" width="7.140625" style="2" bestFit="1" customWidth="1"/>
    <col min="7692" max="7692" width="7.42578125" style="2" customWidth="1"/>
    <col min="7693" max="7937" width="11.42578125" style="2"/>
    <col min="7938" max="7938" width="2.5703125" style="2" customWidth="1"/>
    <col min="7939" max="7939" width="13.85546875" style="2" customWidth="1"/>
    <col min="7940" max="7940" width="13.42578125" style="2" customWidth="1"/>
    <col min="7941" max="7941" width="14.7109375" style="2" customWidth="1"/>
    <col min="7942" max="7942" width="5" style="2" customWidth="1"/>
    <col min="7943" max="7943" width="6.140625" style="2" customWidth="1"/>
    <col min="7944" max="7944" width="4" style="2" customWidth="1"/>
    <col min="7945" max="7945" width="7.140625" style="2" customWidth="1"/>
    <col min="7946" max="7946" width="12.28515625" style="2" customWidth="1"/>
    <col min="7947" max="7947" width="7.140625" style="2" bestFit="1" customWidth="1"/>
    <col min="7948" max="7948" width="7.42578125" style="2" customWidth="1"/>
    <col min="7949" max="8193" width="11.42578125" style="2"/>
    <col min="8194" max="8194" width="2.5703125" style="2" customWidth="1"/>
    <col min="8195" max="8195" width="13.85546875" style="2" customWidth="1"/>
    <col min="8196" max="8196" width="13.42578125" style="2" customWidth="1"/>
    <col min="8197" max="8197" width="14.7109375" style="2" customWidth="1"/>
    <col min="8198" max="8198" width="5" style="2" customWidth="1"/>
    <col min="8199" max="8199" width="6.140625" style="2" customWidth="1"/>
    <col min="8200" max="8200" width="4" style="2" customWidth="1"/>
    <col min="8201" max="8201" width="7.140625" style="2" customWidth="1"/>
    <col min="8202" max="8202" width="12.28515625" style="2" customWidth="1"/>
    <col min="8203" max="8203" width="7.140625" style="2" bestFit="1" customWidth="1"/>
    <col min="8204" max="8204" width="7.42578125" style="2" customWidth="1"/>
    <col min="8205" max="8449" width="11.42578125" style="2"/>
    <col min="8450" max="8450" width="2.5703125" style="2" customWidth="1"/>
    <col min="8451" max="8451" width="13.85546875" style="2" customWidth="1"/>
    <col min="8452" max="8452" width="13.42578125" style="2" customWidth="1"/>
    <col min="8453" max="8453" width="14.7109375" style="2" customWidth="1"/>
    <col min="8454" max="8454" width="5" style="2" customWidth="1"/>
    <col min="8455" max="8455" width="6.140625" style="2" customWidth="1"/>
    <col min="8456" max="8456" width="4" style="2" customWidth="1"/>
    <col min="8457" max="8457" width="7.140625" style="2" customWidth="1"/>
    <col min="8458" max="8458" width="12.28515625" style="2" customWidth="1"/>
    <col min="8459" max="8459" width="7.140625" style="2" bestFit="1" customWidth="1"/>
    <col min="8460" max="8460" width="7.42578125" style="2" customWidth="1"/>
    <col min="8461" max="8705" width="11.42578125" style="2"/>
    <col min="8706" max="8706" width="2.5703125" style="2" customWidth="1"/>
    <col min="8707" max="8707" width="13.85546875" style="2" customWidth="1"/>
    <col min="8708" max="8708" width="13.42578125" style="2" customWidth="1"/>
    <col min="8709" max="8709" width="14.7109375" style="2" customWidth="1"/>
    <col min="8710" max="8710" width="5" style="2" customWidth="1"/>
    <col min="8711" max="8711" width="6.140625" style="2" customWidth="1"/>
    <col min="8712" max="8712" width="4" style="2" customWidth="1"/>
    <col min="8713" max="8713" width="7.140625" style="2" customWidth="1"/>
    <col min="8714" max="8714" width="12.28515625" style="2" customWidth="1"/>
    <col min="8715" max="8715" width="7.140625" style="2" bestFit="1" customWidth="1"/>
    <col min="8716" max="8716" width="7.42578125" style="2" customWidth="1"/>
    <col min="8717" max="8961" width="11.42578125" style="2"/>
    <col min="8962" max="8962" width="2.5703125" style="2" customWidth="1"/>
    <col min="8963" max="8963" width="13.85546875" style="2" customWidth="1"/>
    <col min="8964" max="8964" width="13.42578125" style="2" customWidth="1"/>
    <col min="8965" max="8965" width="14.7109375" style="2" customWidth="1"/>
    <col min="8966" max="8966" width="5" style="2" customWidth="1"/>
    <col min="8967" max="8967" width="6.140625" style="2" customWidth="1"/>
    <col min="8968" max="8968" width="4" style="2" customWidth="1"/>
    <col min="8969" max="8969" width="7.140625" style="2" customWidth="1"/>
    <col min="8970" max="8970" width="12.28515625" style="2" customWidth="1"/>
    <col min="8971" max="8971" width="7.140625" style="2" bestFit="1" customWidth="1"/>
    <col min="8972" max="8972" width="7.42578125" style="2" customWidth="1"/>
    <col min="8973" max="9217" width="11.42578125" style="2"/>
    <col min="9218" max="9218" width="2.5703125" style="2" customWidth="1"/>
    <col min="9219" max="9219" width="13.85546875" style="2" customWidth="1"/>
    <col min="9220" max="9220" width="13.42578125" style="2" customWidth="1"/>
    <col min="9221" max="9221" width="14.7109375" style="2" customWidth="1"/>
    <col min="9222" max="9222" width="5" style="2" customWidth="1"/>
    <col min="9223" max="9223" width="6.140625" style="2" customWidth="1"/>
    <col min="9224" max="9224" width="4" style="2" customWidth="1"/>
    <col min="9225" max="9225" width="7.140625" style="2" customWidth="1"/>
    <col min="9226" max="9226" width="12.28515625" style="2" customWidth="1"/>
    <col min="9227" max="9227" width="7.140625" style="2" bestFit="1" customWidth="1"/>
    <col min="9228" max="9228" width="7.42578125" style="2" customWidth="1"/>
    <col min="9229" max="9473" width="11.42578125" style="2"/>
    <col min="9474" max="9474" width="2.5703125" style="2" customWidth="1"/>
    <col min="9475" max="9475" width="13.85546875" style="2" customWidth="1"/>
    <col min="9476" max="9476" width="13.42578125" style="2" customWidth="1"/>
    <col min="9477" max="9477" width="14.7109375" style="2" customWidth="1"/>
    <col min="9478" max="9478" width="5" style="2" customWidth="1"/>
    <col min="9479" max="9479" width="6.140625" style="2" customWidth="1"/>
    <col min="9480" max="9480" width="4" style="2" customWidth="1"/>
    <col min="9481" max="9481" width="7.140625" style="2" customWidth="1"/>
    <col min="9482" max="9482" width="12.28515625" style="2" customWidth="1"/>
    <col min="9483" max="9483" width="7.140625" style="2" bestFit="1" customWidth="1"/>
    <col min="9484" max="9484" width="7.42578125" style="2" customWidth="1"/>
    <col min="9485" max="9729" width="11.42578125" style="2"/>
    <col min="9730" max="9730" width="2.5703125" style="2" customWidth="1"/>
    <col min="9731" max="9731" width="13.85546875" style="2" customWidth="1"/>
    <col min="9732" max="9732" width="13.42578125" style="2" customWidth="1"/>
    <col min="9733" max="9733" width="14.7109375" style="2" customWidth="1"/>
    <col min="9734" max="9734" width="5" style="2" customWidth="1"/>
    <col min="9735" max="9735" width="6.140625" style="2" customWidth="1"/>
    <col min="9736" max="9736" width="4" style="2" customWidth="1"/>
    <col min="9737" max="9737" width="7.140625" style="2" customWidth="1"/>
    <col min="9738" max="9738" width="12.28515625" style="2" customWidth="1"/>
    <col min="9739" max="9739" width="7.140625" style="2" bestFit="1" customWidth="1"/>
    <col min="9740" max="9740" width="7.42578125" style="2" customWidth="1"/>
    <col min="9741" max="9985" width="11.42578125" style="2"/>
    <col min="9986" max="9986" width="2.5703125" style="2" customWidth="1"/>
    <col min="9987" max="9987" width="13.85546875" style="2" customWidth="1"/>
    <col min="9988" max="9988" width="13.42578125" style="2" customWidth="1"/>
    <col min="9989" max="9989" width="14.7109375" style="2" customWidth="1"/>
    <col min="9990" max="9990" width="5" style="2" customWidth="1"/>
    <col min="9991" max="9991" width="6.140625" style="2" customWidth="1"/>
    <col min="9992" max="9992" width="4" style="2" customWidth="1"/>
    <col min="9993" max="9993" width="7.140625" style="2" customWidth="1"/>
    <col min="9994" max="9994" width="12.28515625" style="2" customWidth="1"/>
    <col min="9995" max="9995" width="7.140625" style="2" bestFit="1" customWidth="1"/>
    <col min="9996" max="9996" width="7.42578125" style="2" customWidth="1"/>
    <col min="9997" max="10241" width="11.42578125" style="2"/>
    <col min="10242" max="10242" width="2.5703125" style="2" customWidth="1"/>
    <col min="10243" max="10243" width="13.85546875" style="2" customWidth="1"/>
    <col min="10244" max="10244" width="13.42578125" style="2" customWidth="1"/>
    <col min="10245" max="10245" width="14.7109375" style="2" customWidth="1"/>
    <col min="10246" max="10246" width="5" style="2" customWidth="1"/>
    <col min="10247" max="10247" width="6.140625" style="2" customWidth="1"/>
    <col min="10248" max="10248" width="4" style="2" customWidth="1"/>
    <col min="10249" max="10249" width="7.140625" style="2" customWidth="1"/>
    <col min="10250" max="10250" width="12.28515625" style="2" customWidth="1"/>
    <col min="10251" max="10251" width="7.140625" style="2" bestFit="1" customWidth="1"/>
    <col min="10252" max="10252" width="7.42578125" style="2" customWidth="1"/>
    <col min="10253" max="10497" width="11.42578125" style="2"/>
    <col min="10498" max="10498" width="2.5703125" style="2" customWidth="1"/>
    <col min="10499" max="10499" width="13.85546875" style="2" customWidth="1"/>
    <col min="10500" max="10500" width="13.42578125" style="2" customWidth="1"/>
    <col min="10501" max="10501" width="14.7109375" style="2" customWidth="1"/>
    <col min="10502" max="10502" width="5" style="2" customWidth="1"/>
    <col min="10503" max="10503" width="6.140625" style="2" customWidth="1"/>
    <col min="10504" max="10504" width="4" style="2" customWidth="1"/>
    <col min="10505" max="10505" width="7.140625" style="2" customWidth="1"/>
    <col min="10506" max="10506" width="12.28515625" style="2" customWidth="1"/>
    <col min="10507" max="10507" width="7.140625" style="2" bestFit="1" customWidth="1"/>
    <col min="10508" max="10508" width="7.42578125" style="2" customWidth="1"/>
    <col min="10509" max="10753" width="11.42578125" style="2"/>
    <col min="10754" max="10754" width="2.5703125" style="2" customWidth="1"/>
    <col min="10755" max="10755" width="13.85546875" style="2" customWidth="1"/>
    <col min="10756" max="10756" width="13.42578125" style="2" customWidth="1"/>
    <col min="10757" max="10757" width="14.7109375" style="2" customWidth="1"/>
    <col min="10758" max="10758" width="5" style="2" customWidth="1"/>
    <col min="10759" max="10759" width="6.140625" style="2" customWidth="1"/>
    <col min="10760" max="10760" width="4" style="2" customWidth="1"/>
    <col min="10761" max="10761" width="7.140625" style="2" customWidth="1"/>
    <col min="10762" max="10762" width="12.28515625" style="2" customWidth="1"/>
    <col min="10763" max="10763" width="7.140625" style="2" bestFit="1" customWidth="1"/>
    <col min="10764" max="10764" width="7.42578125" style="2" customWidth="1"/>
    <col min="10765" max="11009" width="11.42578125" style="2"/>
    <col min="11010" max="11010" width="2.5703125" style="2" customWidth="1"/>
    <col min="11011" max="11011" width="13.85546875" style="2" customWidth="1"/>
    <col min="11012" max="11012" width="13.42578125" style="2" customWidth="1"/>
    <col min="11013" max="11013" width="14.7109375" style="2" customWidth="1"/>
    <col min="11014" max="11014" width="5" style="2" customWidth="1"/>
    <col min="11015" max="11015" width="6.140625" style="2" customWidth="1"/>
    <col min="11016" max="11016" width="4" style="2" customWidth="1"/>
    <col min="11017" max="11017" width="7.140625" style="2" customWidth="1"/>
    <col min="11018" max="11018" width="12.28515625" style="2" customWidth="1"/>
    <col min="11019" max="11019" width="7.140625" style="2" bestFit="1" customWidth="1"/>
    <col min="11020" max="11020" width="7.42578125" style="2" customWidth="1"/>
    <col min="11021" max="11265" width="11.42578125" style="2"/>
    <col min="11266" max="11266" width="2.5703125" style="2" customWidth="1"/>
    <col min="11267" max="11267" width="13.85546875" style="2" customWidth="1"/>
    <col min="11268" max="11268" width="13.42578125" style="2" customWidth="1"/>
    <col min="11269" max="11269" width="14.7109375" style="2" customWidth="1"/>
    <col min="11270" max="11270" width="5" style="2" customWidth="1"/>
    <col min="11271" max="11271" width="6.140625" style="2" customWidth="1"/>
    <col min="11272" max="11272" width="4" style="2" customWidth="1"/>
    <col min="11273" max="11273" width="7.140625" style="2" customWidth="1"/>
    <col min="11274" max="11274" width="12.28515625" style="2" customWidth="1"/>
    <col min="11275" max="11275" width="7.140625" style="2" bestFit="1" customWidth="1"/>
    <col min="11276" max="11276" width="7.42578125" style="2" customWidth="1"/>
    <col min="11277" max="11521" width="11.42578125" style="2"/>
    <col min="11522" max="11522" width="2.5703125" style="2" customWidth="1"/>
    <col min="11523" max="11523" width="13.85546875" style="2" customWidth="1"/>
    <col min="11524" max="11524" width="13.42578125" style="2" customWidth="1"/>
    <col min="11525" max="11525" width="14.7109375" style="2" customWidth="1"/>
    <col min="11526" max="11526" width="5" style="2" customWidth="1"/>
    <col min="11527" max="11527" width="6.140625" style="2" customWidth="1"/>
    <col min="11528" max="11528" width="4" style="2" customWidth="1"/>
    <col min="11529" max="11529" width="7.140625" style="2" customWidth="1"/>
    <col min="11530" max="11530" width="12.28515625" style="2" customWidth="1"/>
    <col min="11531" max="11531" width="7.140625" style="2" bestFit="1" customWidth="1"/>
    <col min="11532" max="11532" width="7.42578125" style="2" customWidth="1"/>
    <col min="11533" max="11777" width="11.42578125" style="2"/>
    <col min="11778" max="11778" width="2.5703125" style="2" customWidth="1"/>
    <col min="11779" max="11779" width="13.85546875" style="2" customWidth="1"/>
    <col min="11780" max="11780" width="13.42578125" style="2" customWidth="1"/>
    <col min="11781" max="11781" width="14.7109375" style="2" customWidth="1"/>
    <col min="11782" max="11782" width="5" style="2" customWidth="1"/>
    <col min="11783" max="11783" width="6.140625" style="2" customWidth="1"/>
    <col min="11784" max="11784" width="4" style="2" customWidth="1"/>
    <col min="11785" max="11785" width="7.140625" style="2" customWidth="1"/>
    <col min="11786" max="11786" width="12.28515625" style="2" customWidth="1"/>
    <col min="11787" max="11787" width="7.140625" style="2" bestFit="1" customWidth="1"/>
    <col min="11788" max="11788" width="7.42578125" style="2" customWidth="1"/>
    <col min="11789" max="12033" width="11.42578125" style="2"/>
    <col min="12034" max="12034" width="2.5703125" style="2" customWidth="1"/>
    <col min="12035" max="12035" width="13.85546875" style="2" customWidth="1"/>
    <col min="12036" max="12036" width="13.42578125" style="2" customWidth="1"/>
    <col min="12037" max="12037" width="14.7109375" style="2" customWidth="1"/>
    <col min="12038" max="12038" width="5" style="2" customWidth="1"/>
    <col min="12039" max="12039" width="6.140625" style="2" customWidth="1"/>
    <col min="12040" max="12040" width="4" style="2" customWidth="1"/>
    <col min="12041" max="12041" width="7.140625" style="2" customWidth="1"/>
    <col min="12042" max="12042" width="12.28515625" style="2" customWidth="1"/>
    <col min="12043" max="12043" width="7.140625" style="2" bestFit="1" customWidth="1"/>
    <col min="12044" max="12044" width="7.42578125" style="2" customWidth="1"/>
    <col min="12045" max="12289" width="11.42578125" style="2"/>
    <col min="12290" max="12290" width="2.5703125" style="2" customWidth="1"/>
    <col min="12291" max="12291" width="13.85546875" style="2" customWidth="1"/>
    <col min="12292" max="12292" width="13.42578125" style="2" customWidth="1"/>
    <col min="12293" max="12293" width="14.7109375" style="2" customWidth="1"/>
    <col min="12294" max="12294" width="5" style="2" customWidth="1"/>
    <col min="12295" max="12295" width="6.140625" style="2" customWidth="1"/>
    <col min="12296" max="12296" width="4" style="2" customWidth="1"/>
    <col min="12297" max="12297" width="7.140625" style="2" customWidth="1"/>
    <col min="12298" max="12298" width="12.28515625" style="2" customWidth="1"/>
    <col min="12299" max="12299" width="7.140625" style="2" bestFit="1" customWidth="1"/>
    <col min="12300" max="12300" width="7.42578125" style="2" customWidth="1"/>
    <col min="12301" max="12545" width="11.42578125" style="2"/>
    <col min="12546" max="12546" width="2.5703125" style="2" customWidth="1"/>
    <col min="12547" max="12547" width="13.85546875" style="2" customWidth="1"/>
    <col min="12548" max="12548" width="13.42578125" style="2" customWidth="1"/>
    <col min="12549" max="12549" width="14.7109375" style="2" customWidth="1"/>
    <col min="12550" max="12550" width="5" style="2" customWidth="1"/>
    <col min="12551" max="12551" width="6.140625" style="2" customWidth="1"/>
    <col min="12552" max="12552" width="4" style="2" customWidth="1"/>
    <col min="12553" max="12553" width="7.140625" style="2" customWidth="1"/>
    <col min="12554" max="12554" width="12.28515625" style="2" customWidth="1"/>
    <col min="12555" max="12555" width="7.140625" style="2" bestFit="1" customWidth="1"/>
    <col min="12556" max="12556" width="7.42578125" style="2" customWidth="1"/>
    <col min="12557" max="12801" width="11.42578125" style="2"/>
    <col min="12802" max="12802" width="2.5703125" style="2" customWidth="1"/>
    <col min="12803" max="12803" width="13.85546875" style="2" customWidth="1"/>
    <col min="12804" max="12804" width="13.42578125" style="2" customWidth="1"/>
    <col min="12805" max="12805" width="14.7109375" style="2" customWidth="1"/>
    <col min="12806" max="12806" width="5" style="2" customWidth="1"/>
    <col min="12807" max="12807" width="6.140625" style="2" customWidth="1"/>
    <col min="12808" max="12808" width="4" style="2" customWidth="1"/>
    <col min="12809" max="12809" width="7.140625" style="2" customWidth="1"/>
    <col min="12810" max="12810" width="12.28515625" style="2" customWidth="1"/>
    <col min="12811" max="12811" width="7.140625" style="2" bestFit="1" customWidth="1"/>
    <col min="12812" max="12812" width="7.42578125" style="2" customWidth="1"/>
    <col min="12813" max="13057" width="11.42578125" style="2"/>
    <col min="13058" max="13058" width="2.5703125" style="2" customWidth="1"/>
    <col min="13059" max="13059" width="13.85546875" style="2" customWidth="1"/>
    <col min="13060" max="13060" width="13.42578125" style="2" customWidth="1"/>
    <col min="13061" max="13061" width="14.7109375" style="2" customWidth="1"/>
    <col min="13062" max="13062" width="5" style="2" customWidth="1"/>
    <col min="13063" max="13063" width="6.140625" style="2" customWidth="1"/>
    <col min="13064" max="13064" width="4" style="2" customWidth="1"/>
    <col min="13065" max="13065" width="7.140625" style="2" customWidth="1"/>
    <col min="13066" max="13066" width="12.28515625" style="2" customWidth="1"/>
    <col min="13067" max="13067" width="7.140625" style="2" bestFit="1" customWidth="1"/>
    <col min="13068" max="13068" width="7.42578125" style="2" customWidth="1"/>
    <col min="13069" max="13313" width="11.42578125" style="2"/>
    <col min="13314" max="13314" width="2.5703125" style="2" customWidth="1"/>
    <col min="13315" max="13315" width="13.85546875" style="2" customWidth="1"/>
    <col min="13316" max="13316" width="13.42578125" style="2" customWidth="1"/>
    <col min="13317" max="13317" width="14.7109375" style="2" customWidth="1"/>
    <col min="13318" max="13318" width="5" style="2" customWidth="1"/>
    <col min="13319" max="13319" width="6.140625" style="2" customWidth="1"/>
    <col min="13320" max="13320" width="4" style="2" customWidth="1"/>
    <col min="13321" max="13321" width="7.140625" style="2" customWidth="1"/>
    <col min="13322" max="13322" width="12.28515625" style="2" customWidth="1"/>
    <col min="13323" max="13323" width="7.140625" style="2" bestFit="1" customWidth="1"/>
    <col min="13324" max="13324" width="7.42578125" style="2" customWidth="1"/>
    <col min="13325" max="13569" width="11.42578125" style="2"/>
    <col min="13570" max="13570" width="2.5703125" style="2" customWidth="1"/>
    <col min="13571" max="13571" width="13.85546875" style="2" customWidth="1"/>
    <col min="13572" max="13572" width="13.42578125" style="2" customWidth="1"/>
    <col min="13573" max="13573" width="14.7109375" style="2" customWidth="1"/>
    <col min="13574" max="13574" width="5" style="2" customWidth="1"/>
    <col min="13575" max="13575" width="6.140625" style="2" customWidth="1"/>
    <col min="13576" max="13576" width="4" style="2" customWidth="1"/>
    <col min="13577" max="13577" width="7.140625" style="2" customWidth="1"/>
    <col min="13578" max="13578" width="12.28515625" style="2" customWidth="1"/>
    <col min="13579" max="13579" width="7.140625" style="2" bestFit="1" customWidth="1"/>
    <col min="13580" max="13580" width="7.42578125" style="2" customWidth="1"/>
    <col min="13581" max="13825" width="11.42578125" style="2"/>
    <col min="13826" max="13826" width="2.5703125" style="2" customWidth="1"/>
    <col min="13827" max="13827" width="13.85546875" style="2" customWidth="1"/>
    <col min="13828" max="13828" width="13.42578125" style="2" customWidth="1"/>
    <col min="13829" max="13829" width="14.7109375" style="2" customWidth="1"/>
    <col min="13830" max="13830" width="5" style="2" customWidth="1"/>
    <col min="13831" max="13831" width="6.140625" style="2" customWidth="1"/>
    <col min="13832" max="13832" width="4" style="2" customWidth="1"/>
    <col min="13833" max="13833" width="7.140625" style="2" customWidth="1"/>
    <col min="13834" max="13834" width="12.28515625" style="2" customWidth="1"/>
    <col min="13835" max="13835" width="7.140625" style="2" bestFit="1" customWidth="1"/>
    <col min="13836" max="13836" width="7.42578125" style="2" customWidth="1"/>
    <col min="13837" max="14081" width="11.42578125" style="2"/>
    <col min="14082" max="14082" width="2.5703125" style="2" customWidth="1"/>
    <col min="14083" max="14083" width="13.85546875" style="2" customWidth="1"/>
    <col min="14084" max="14084" width="13.42578125" style="2" customWidth="1"/>
    <col min="14085" max="14085" width="14.7109375" style="2" customWidth="1"/>
    <col min="14086" max="14086" width="5" style="2" customWidth="1"/>
    <col min="14087" max="14087" width="6.140625" style="2" customWidth="1"/>
    <col min="14088" max="14088" width="4" style="2" customWidth="1"/>
    <col min="14089" max="14089" width="7.140625" style="2" customWidth="1"/>
    <col min="14090" max="14090" width="12.28515625" style="2" customWidth="1"/>
    <col min="14091" max="14091" width="7.140625" style="2" bestFit="1" customWidth="1"/>
    <col min="14092" max="14092" width="7.42578125" style="2" customWidth="1"/>
    <col min="14093" max="14337" width="11.42578125" style="2"/>
    <col min="14338" max="14338" width="2.5703125" style="2" customWidth="1"/>
    <col min="14339" max="14339" width="13.85546875" style="2" customWidth="1"/>
    <col min="14340" max="14340" width="13.42578125" style="2" customWidth="1"/>
    <col min="14341" max="14341" width="14.7109375" style="2" customWidth="1"/>
    <col min="14342" max="14342" width="5" style="2" customWidth="1"/>
    <col min="14343" max="14343" width="6.140625" style="2" customWidth="1"/>
    <col min="14344" max="14344" width="4" style="2" customWidth="1"/>
    <col min="14345" max="14345" width="7.140625" style="2" customWidth="1"/>
    <col min="14346" max="14346" width="12.28515625" style="2" customWidth="1"/>
    <col min="14347" max="14347" width="7.140625" style="2" bestFit="1" customWidth="1"/>
    <col min="14348" max="14348" width="7.42578125" style="2" customWidth="1"/>
    <col min="14349" max="14593" width="11.42578125" style="2"/>
    <col min="14594" max="14594" width="2.5703125" style="2" customWidth="1"/>
    <col min="14595" max="14595" width="13.85546875" style="2" customWidth="1"/>
    <col min="14596" max="14596" width="13.42578125" style="2" customWidth="1"/>
    <col min="14597" max="14597" width="14.7109375" style="2" customWidth="1"/>
    <col min="14598" max="14598" width="5" style="2" customWidth="1"/>
    <col min="14599" max="14599" width="6.140625" style="2" customWidth="1"/>
    <col min="14600" max="14600" width="4" style="2" customWidth="1"/>
    <col min="14601" max="14601" width="7.140625" style="2" customWidth="1"/>
    <col min="14602" max="14602" width="12.28515625" style="2" customWidth="1"/>
    <col min="14603" max="14603" width="7.140625" style="2" bestFit="1" customWidth="1"/>
    <col min="14604" max="14604" width="7.42578125" style="2" customWidth="1"/>
    <col min="14605" max="14849" width="11.42578125" style="2"/>
    <col min="14850" max="14850" width="2.5703125" style="2" customWidth="1"/>
    <col min="14851" max="14851" width="13.85546875" style="2" customWidth="1"/>
    <col min="14852" max="14852" width="13.42578125" style="2" customWidth="1"/>
    <col min="14853" max="14853" width="14.7109375" style="2" customWidth="1"/>
    <col min="14854" max="14854" width="5" style="2" customWidth="1"/>
    <col min="14855" max="14855" width="6.140625" style="2" customWidth="1"/>
    <col min="14856" max="14856" width="4" style="2" customWidth="1"/>
    <col min="14857" max="14857" width="7.140625" style="2" customWidth="1"/>
    <col min="14858" max="14858" width="12.28515625" style="2" customWidth="1"/>
    <col min="14859" max="14859" width="7.140625" style="2" bestFit="1" customWidth="1"/>
    <col min="14860" max="14860" width="7.42578125" style="2" customWidth="1"/>
    <col min="14861" max="15105" width="11.42578125" style="2"/>
    <col min="15106" max="15106" width="2.5703125" style="2" customWidth="1"/>
    <col min="15107" max="15107" width="13.85546875" style="2" customWidth="1"/>
    <col min="15108" max="15108" width="13.42578125" style="2" customWidth="1"/>
    <col min="15109" max="15109" width="14.7109375" style="2" customWidth="1"/>
    <col min="15110" max="15110" width="5" style="2" customWidth="1"/>
    <col min="15111" max="15111" width="6.140625" style="2" customWidth="1"/>
    <col min="15112" max="15112" width="4" style="2" customWidth="1"/>
    <col min="15113" max="15113" width="7.140625" style="2" customWidth="1"/>
    <col min="15114" max="15114" width="12.28515625" style="2" customWidth="1"/>
    <col min="15115" max="15115" width="7.140625" style="2" bestFit="1" customWidth="1"/>
    <col min="15116" max="15116" width="7.42578125" style="2" customWidth="1"/>
    <col min="15117" max="15361" width="11.42578125" style="2"/>
    <col min="15362" max="15362" width="2.5703125" style="2" customWidth="1"/>
    <col min="15363" max="15363" width="13.85546875" style="2" customWidth="1"/>
    <col min="15364" max="15364" width="13.42578125" style="2" customWidth="1"/>
    <col min="15365" max="15365" width="14.7109375" style="2" customWidth="1"/>
    <col min="15366" max="15366" width="5" style="2" customWidth="1"/>
    <col min="15367" max="15367" width="6.140625" style="2" customWidth="1"/>
    <col min="15368" max="15368" width="4" style="2" customWidth="1"/>
    <col min="15369" max="15369" width="7.140625" style="2" customWidth="1"/>
    <col min="15370" max="15370" width="12.28515625" style="2" customWidth="1"/>
    <col min="15371" max="15371" width="7.140625" style="2" bestFit="1" customWidth="1"/>
    <col min="15372" max="15372" width="7.42578125" style="2" customWidth="1"/>
    <col min="15373" max="15617" width="11.42578125" style="2"/>
    <col min="15618" max="15618" width="2.5703125" style="2" customWidth="1"/>
    <col min="15619" max="15619" width="13.85546875" style="2" customWidth="1"/>
    <col min="15620" max="15620" width="13.42578125" style="2" customWidth="1"/>
    <col min="15621" max="15621" width="14.7109375" style="2" customWidth="1"/>
    <col min="15622" max="15622" width="5" style="2" customWidth="1"/>
    <col min="15623" max="15623" width="6.140625" style="2" customWidth="1"/>
    <col min="15624" max="15624" width="4" style="2" customWidth="1"/>
    <col min="15625" max="15625" width="7.140625" style="2" customWidth="1"/>
    <col min="15626" max="15626" width="12.28515625" style="2" customWidth="1"/>
    <col min="15627" max="15627" width="7.140625" style="2" bestFit="1" customWidth="1"/>
    <col min="15628" max="15628" width="7.42578125" style="2" customWidth="1"/>
    <col min="15629" max="15873" width="11.42578125" style="2"/>
    <col min="15874" max="15874" width="2.5703125" style="2" customWidth="1"/>
    <col min="15875" max="15875" width="13.85546875" style="2" customWidth="1"/>
    <col min="15876" max="15876" width="13.42578125" style="2" customWidth="1"/>
    <col min="15877" max="15877" width="14.7109375" style="2" customWidth="1"/>
    <col min="15878" max="15878" width="5" style="2" customWidth="1"/>
    <col min="15879" max="15879" width="6.140625" style="2" customWidth="1"/>
    <col min="15880" max="15880" width="4" style="2" customWidth="1"/>
    <col min="15881" max="15881" width="7.140625" style="2" customWidth="1"/>
    <col min="15882" max="15882" width="12.28515625" style="2" customWidth="1"/>
    <col min="15883" max="15883" width="7.140625" style="2" bestFit="1" customWidth="1"/>
    <col min="15884" max="15884" width="7.42578125" style="2" customWidth="1"/>
    <col min="15885" max="16129" width="11.42578125" style="2"/>
    <col min="16130" max="16130" width="2.5703125" style="2" customWidth="1"/>
    <col min="16131" max="16131" width="13.85546875" style="2" customWidth="1"/>
    <col min="16132" max="16132" width="13.42578125" style="2" customWidth="1"/>
    <col min="16133" max="16133" width="14.7109375" style="2" customWidth="1"/>
    <col min="16134" max="16134" width="5" style="2" customWidth="1"/>
    <col min="16135" max="16135" width="6.140625" style="2" customWidth="1"/>
    <col min="16136" max="16136" width="4" style="2" customWidth="1"/>
    <col min="16137" max="16137" width="7.140625" style="2" customWidth="1"/>
    <col min="16138" max="16138" width="12.28515625" style="2" customWidth="1"/>
    <col min="16139" max="16139" width="7.140625" style="2" bestFit="1" customWidth="1"/>
    <col min="16140" max="16140" width="7.42578125" style="2" customWidth="1"/>
    <col min="16141" max="16384" width="11.42578125" style="2"/>
  </cols>
  <sheetData>
    <row r="1" spans="3:13" ht="79.5" customHeight="1" thickBot="1" x14ac:dyDescent="0.3">
      <c r="C1" s="1"/>
      <c r="D1" s="370" t="s">
        <v>242</v>
      </c>
      <c r="E1" s="371"/>
      <c r="F1" s="371"/>
      <c r="G1" s="371"/>
      <c r="H1" s="371"/>
      <c r="I1" s="372"/>
      <c r="J1" s="373"/>
      <c r="K1" s="373"/>
      <c r="L1" s="374"/>
    </row>
    <row r="2" spans="3:13" ht="15.75" customHeight="1" thickBot="1" x14ac:dyDescent="0.3">
      <c r="C2" s="375" t="s">
        <v>0</v>
      </c>
      <c r="D2" s="244"/>
      <c r="E2" s="244"/>
      <c r="F2" s="244"/>
      <c r="G2" s="244"/>
      <c r="H2" s="244"/>
      <c r="I2" s="244"/>
      <c r="J2" s="376"/>
      <c r="K2" s="72" t="s">
        <v>67</v>
      </c>
      <c r="L2" s="90">
        <v>92</v>
      </c>
      <c r="M2" s="77">
        <v>46</v>
      </c>
    </row>
    <row r="3" spans="3:13" ht="13.5" thickBot="1" x14ac:dyDescent="0.25">
      <c r="C3" s="237"/>
      <c r="D3" s="238"/>
      <c r="E3" s="238"/>
      <c r="F3" s="238"/>
      <c r="G3" s="238"/>
      <c r="H3" s="238"/>
      <c r="I3" s="238"/>
      <c r="J3" s="238"/>
      <c r="K3" s="238"/>
      <c r="L3" s="240"/>
      <c r="M3" s="77">
        <v>48</v>
      </c>
    </row>
    <row r="4" spans="3:13" ht="12.75" customHeight="1" x14ac:dyDescent="0.2">
      <c r="C4" s="377" t="s">
        <v>56</v>
      </c>
      <c r="D4" s="378"/>
      <c r="E4" s="381" t="s">
        <v>2</v>
      </c>
      <c r="F4" s="382"/>
      <c r="G4" s="383" t="s">
        <v>68</v>
      </c>
      <c r="H4" s="384"/>
      <c r="I4" s="384"/>
      <c r="J4" s="384"/>
      <c r="K4" s="384"/>
      <c r="L4" s="385"/>
      <c r="M4" s="77">
        <v>54</v>
      </c>
    </row>
    <row r="5" spans="3:13" x14ac:dyDescent="0.2">
      <c r="C5" s="379"/>
      <c r="D5" s="380"/>
      <c r="E5" s="285"/>
      <c r="F5" s="287"/>
      <c r="G5" s="386"/>
      <c r="H5" s="387"/>
      <c r="I5" s="387"/>
      <c r="J5" s="387"/>
      <c r="K5" s="387"/>
      <c r="L5" s="388"/>
      <c r="M5" s="77">
        <v>55</v>
      </c>
    </row>
    <row r="6" spans="3:13" x14ac:dyDescent="0.2">
      <c r="C6" s="125" t="s">
        <v>69</v>
      </c>
      <c r="D6" s="352" t="str">
        <f>VLOOKUP(L2,[1]PMP_2025!$C$50:$R$150,4,FALSE)</f>
        <v>Gestión de Pacientes</v>
      </c>
      <c r="E6" s="353"/>
      <c r="F6" s="353"/>
      <c r="G6" s="353"/>
      <c r="H6" s="353"/>
      <c r="I6" s="354"/>
      <c r="J6" s="126" t="s">
        <v>6</v>
      </c>
      <c r="K6" s="279" t="str">
        <f>VLOOKUP(L2,[1]PMP_2025!$C$50:$R$150,2,FALSE)</f>
        <v>2-121624</v>
      </c>
      <c r="L6" s="280"/>
      <c r="M6" s="77">
        <v>56</v>
      </c>
    </row>
    <row r="7" spans="3:13" ht="15" customHeight="1" x14ac:dyDescent="0.2">
      <c r="C7" s="125" t="s">
        <v>58</v>
      </c>
      <c r="D7" s="352" t="str">
        <f>VLOOKUP(L2,[1]PMP_2025!$C$50:$R$150,3,FALSE)</f>
        <v>DEA</v>
      </c>
      <c r="E7" s="353"/>
      <c r="F7" s="353"/>
      <c r="G7" s="353"/>
      <c r="H7" s="353"/>
      <c r="I7" s="354"/>
      <c r="J7" s="126" t="s">
        <v>59</v>
      </c>
      <c r="K7" s="277" t="str">
        <f>VLOOKUP(L2,[1]PMP_2025!$C$50:$R$150,10,FALSE)</f>
        <v>X21A332744</v>
      </c>
      <c r="L7" s="355"/>
      <c r="M7" s="77">
        <v>57</v>
      </c>
    </row>
    <row r="8" spans="3:13" ht="13.5" thickBot="1" x14ac:dyDescent="0.25">
      <c r="C8" s="127" t="s">
        <v>4</v>
      </c>
      <c r="D8" s="356" t="str">
        <f>VLOOKUP(L2,[1]PMP_2025!$C$50:$R$150,8,FALSE)</f>
        <v>Zoll</v>
      </c>
      <c r="E8" s="356"/>
      <c r="F8" s="255" t="s">
        <v>5</v>
      </c>
      <c r="G8" s="255"/>
      <c r="H8" s="356" t="str">
        <f>VLOOKUP(L2,[1]PMP_2025!$C$50:$R$150,9,FALSE)</f>
        <v>AEDPLUS</v>
      </c>
      <c r="I8" s="356"/>
      <c r="J8" s="93" t="s">
        <v>60</v>
      </c>
      <c r="K8" s="357"/>
      <c r="L8" s="358"/>
      <c r="M8" s="77">
        <v>58</v>
      </c>
    </row>
    <row r="9" spans="3:13" ht="15.75" thickBot="1" x14ac:dyDescent="0.3">
      <c r="C9" s="337"/>
      <c r="D9" s="359"/>
      <c r="E9" s="359"/>
      <c r="F9" s="359"/>
      <c r="G9" s="359"/>
      <c r="H9" s="359"/>
      <c r="I9" s="359"/>
      <c r="J9" s="359"/>
      <c r="K9" s="359"/>
      <c r="L9" s="360"/>
      <c r="M9" s="77">
        <v>59</v>
      </c>
    </row>
    <row r="10" spans="3:13" ht="13.5" thickBot="1" x14ac:dyDescent="0.25">
      <c r="C10" s="361" t="s">
        <v>70</v>
      </c>
      <c r="D10" s="362"/>
      <c r="E10" s="362"/>
      <c r="F10" s="73" t="s">
        <v>14</v>
      </c>
      <c r="G10" s="73" t="s">
        <v>15</v>
      </c>
      <c r="H10" s="73" t="s">
        <v>16</v>
      </c>
      <c r="I10" s="363" t="s">
        <v>45</v>
      </c>
      <c r="J10" s="363"/>
      <c r="K10" s="363"/>
      <c r="L10" s="364"/>
      <c r="M10" s="77">
        <v>60</v>
      </c>
    </row>
    <row r="11" spans="3:13" ht="30" customHeight="1" x14ac:dyDescent="0.25">
      <c r="C11" s="365" t="s">
        <v>71</v>
      </c>
      <c r="D11" s="366"/>
      <c r="E11" s="367"/>
      <c r="F11" s="74"/>
      <c r="G11" s="59"/>
      <c r="H11" s="11"/>
      <c r="I11" s="368"/>
      <c r="J11" s="368"/>
      <c r="K11" s="368"/>
      <c r="L11" s="369"/>
      <c r="M11" s="77">
        <v>61</v>
      </c>
    </row>
    <row r="12" spans="3:13" ht="30" customHeight="1" x14ac:dyDescent="0.3">
      <c r="C12" s="344" t="s">
        <v>285</v>
      </c>
      <c r="D12" s="345"/>
      <c r="E12" s="345"/>
      <c r="F12" s="75"/>
      <c r="G12" s="3"/>
      <c r="H12" s="10"/>
      <c r="I12" s="349"/>
      <c r="J12" s="350"/>
      <c r="K12" s="350"/>
      <c r="L12" s="351"/>
      <c r="M12" s="77">
        <f>COUNTIF(M2:M11,L2)</f>
        <v>0</v>
      </c>
    </row>
    <row r="13" spans="3:13" ht="30" customHeight="1" x14ac:dyDescent="0.3">
      <c r="C13" s="344" t="s">
        <v>286</v>
      </c>
      <c r="D13" s="345"/>
      <c r="E13" s="345"/>
      <c r="F13" s="75"/>
      <c r="G13" s="3"/>
      <c r="H13" s="10"/>
      <c r="I13" s="349"/>
      <c r="J13" s="350"/>
      <c r="K13" s="350"/>
      <c r="L13" s="351"/>
      <c r="M13" s="77"/>
    </row>
    <row r="14" spans="3:13" ht="30" customHeight="1" x14ac:dyDescent="0.3">
      <c r="C14" s="344" t="s">
        <v>287</v>
      </c>
      <c r="D14" s="345"/>
      <c r="E14" s="345"/>
      <c r="F14" s="75"/>
      <c r="G14" s="3"/>
      <c r="H14" s="10"/>
      <c r="I14" s="349"/>
      <c r="J14" s="350"/>
      <c r="K14" s="350"/>
      <c r="L14" s="351"/>
      <c r="M14" s="77"/>
    </row>
    <row r="15" spans="3:13" ht="30" customHeight="1" x14ac:dyDescent="0.2">
      <c r="C15" s="344" t="s">
        <v>288</v>
      </c>
      <c r="D15" s="345"/>
      <c r="E15" s="345"/>
      <c r="F15" s="75"/>
      <c r="G15" s="3"/>
      <c r="H15" s="10"/>
      <c r="I15" s="188"/>
      <c r="J15" s="188"/>
      <c r="K15" s="188"/>
      <c r="L15" s="189"/>
    </row>
    <row r="16" spans="3:13" ht="30" customHeight="1" thickBot="1" x14ac:dyDescent="0.25">
      <c r="C16" s="346" t="s">
        <v>204</v>
      </c>
      <c r="D16" s="347"/>
      <c r="E16" s="348"/>
      <c r="F16" s="76"/>
      <c r="G16" s="4"/>
      <c r="H16" s="106"/>
      <c r="I16" s="231"/>
      <c r="J16" s="231"/>
      <c r="K16" s="231"/>
      <c r="L16" s="233"/>
    </row>
    <row r="17" spans="3:12" ht="15" customHeight="1" thickBot="1" x14ac:dyDescent="0.3">
      <c r="C17" s="337" t="s">
        <v>43</v>
      </c>
      <c r="D17" s="338"/>
      <c r="E17" s="338"/>
      <c r="F17" s="338"/>
      <c r="G17" s="338"/>
      <c r="H17" s="338"/>
      <c r="I17" s="338"/>
      <c r="J17" s="338"/>
      <c r="K17" s="338"/>
      <c r="L17" s="339"/>
    </row>
    <row r="18" spans="3:12" ht="15.95" customHeight="1" x14ac:dyDescent="0.2">
      <c r="C18" s="340" t="s">
        <v>40</v>
      </c>
      <c r="D18" s="341"/>
      <c r="E18" s="341"/>
      <c r="F18" s="341"/>
      <c r="G18" s="341"/>
      <c r="H18" s="341"/>
      <c r="I18" s="253"/>
      <c r="J18" s="253"/>
      <c r="K18" s="253"/>
      <c r="L18" s="321"/>
    </row>
    <row r="19" spans="3:12" ht="15.95" customHeight="1" thickBot="1" x14ac:dyDescent="0.25">
      <c r="C19" s="342" t="s">
        <v>162</v>
      </c>
      <c r="D19" s="343"/>
      <c r="E19" s="343"/>
      <c r="F19" s="343"/>
      <c r="G19" s="343"/>
      <c r="H19" s="343"/>
      <c r="I19" s="188"/>
      <c r="J19" s="188"/>
      <c r="K19" s="188"/>
      <c r="L19" s="189"/>
    </row>
    <row r="20" spans="3:12" ht="15" customHeight="1" x14ac:dyDescent="0.2">
      <c r="C20" s="191" t="s">
        <v>54</v>
      </c>
      <c r="D20" s="192"/>
      <c r="E20" s="294"/>
      <c r="F20" s="297" t="s">
        <v>241</v>
      </c>
      <c r="G20" s="192"/>
      <c r="H20" s="192"/>
      <c r="I20" s="192"/>
      <c r="J20" s="192"/>
      <c r="K20" s="192"/>
      <c r="L20" s="193"/>
    </row>
    <row r="21" spans="3:12" ht="15" customHeight="1" x14ac:dyDescent="0.2">
      <c r="C21" s="194"/>
      <c r="D21" s="195"/>
      <c r="E21" s="295"/>
      <c r="F21" s="298"/>
      <c r="G21" s="195"/>
      <c r="H21" s="195"/>
      <c r="I21" s="195"/>
      <c r="J21" s="195"/>
      <c r="K21" s="195"/>
      <c r="L21" s="196"/>
    </row>
    <row r="22" spans="3:12" ht="15" customHeight="1" x14ac:dyDescent="0.2">
      <c r="C22" s="194"/>
      <c r="D22" s="195"/>
      <c r="E22" s="295"/>
      <c r="F22" s="298"/>
      <c r="G22" s="195"/>
      <c r="H22" s="195"/>
      <c r="I22" s="195"/>
      <c r="J22" s="195"/>
      <c r="K22" s="195"/>
      <c r="L22" s="196"/>
    </row>
    <row r="23" spans="3:12" ht="51.75" customHeight="1" thickBot="1" x14ac:dyDescent="0.25">
      <c r="C23" s="197"/>
      <c r="D23" s="198"/>
      <c r="E23" s="296"/>
      <c r="F23" s="299"/>
      <c r="G23" s="198"/>
      <c r="H23" s="198"/>
      <c r="I23" s="198"/>
      <c r="J23" s="198"/>
      <c r="K23" s="198"/>
      <c r="L23" s="199"/>
    </row>
  </sheetData>
  <mergeCells count="37">
    <mergeCell ref="D1:I1"/>
    <mergeCell ref="J1:L1"/>
    <mergeCell ref="C2:J2"/>
    <mergeCell ref="C3:L3"/>
    <mergeCell ref="C4:D5"/>
    <mergeCell ref="E4:F5"/>
    <mergeCell ref="G4:L5"/>
    <mergeCell ref="C9:L9"/>
    <mergeCell ref="C10:E10"/>
    <mergeCell ref="I10:L10"/>
    <mergeCell ref="C11:E11"/>
    <mergeCell ref="I11:L11"/>
    <mergeCell ref="D6:I6"/>
    <mergeCell ref="K6:L6"/>
    <mergeCell ref="D7:I7"/>
    <mergeCell ref="K7:L7"/>
    <mergeCell ref="D8:E8"/>
    <mergeCell ref="F8:G8"/>
    <mergeCell ref="H8:I8"/>
    <mergeCell ref="K8:L8"/>
    <mergeCell ref="C15:E15"/>
    <mergeCell ref="I15:L15"/>
    <mergeCell ref="C16:E16"/>
    <mergeCell ref="I16:L16"/>
    <mergeCell ref="C12:E12"/>
    <mergeCell ref="I12:L12"/>
    <mergeCell ref="C13:E13"/>
    <mergeCell ref="C14:E14"/>
    <mergeCell ref="I13:L13"/>
    <mergeCell ref="I14:L14"/>
    <mergeCell ref="C20:E23"/>
    <mergeCell ref="F20:L23"/>
    <mergeCell ref="C17:L17"/>
    <mergeCell ref="C18:H18"/>
    <mergeCell ref="I18:L18"/>
    <mergeCell ref="C19:H19"/>
    <mergeCell ref="I19:L19"/>
  </mergeCells>
  <conditionalFormatting sqref="D6:I7 D8:E8 H8:I8 K6:L7">
    <cfRule type="cellIs" dxfId="6" priority="1" operator="equal">
      <formula>0</formula>
    </cfRule>
  </conditionalFormatting>
  <dataValidations count="1">
    <dataValidation allowBlank="1" showInputMessage="1" showErrorMessage="1" error="El número no corresponde a DEA" sqref="L2" xr:uid="{00000000-0002-0000-0300-000000000000}"/>
  </dataValidations>
  <pageMargins left="0.62992125984251968" right="0.23622047244094491" top="0.55118110236220474" bottom="0.74803149606299213" header="0.31496062992125984" footer="0.31496062992125984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00B050"/>
  </sheetPr>
  <dimension ref="C1:Q44"/>
  <sheetViews>
    <sheetView zoomScaleNormal="100" workbookViewId="0">
      <selection activeCell="R18" sqref="R18"/>
    </sheetView>
  </sheetViews>
  <sheetFormatPr baseColWidth="10" defaultRowHeight="12.75" x14ac:dyDescent="0.2"/>
  <cols>
    <col min="1" max="1" width="0.7109375" style="2" customWidth="1"/>
    <col min="2" max="2" width="1.140625" style="2" customWidth="1"/>
    <col min="3" max="3" width="13.42578125" style="2" bestFit="1" customWidth="1"/>
    <col min="4" max="4" width="13.42578125" style="2" customWidth="1"/>
    <col min="5" max="5" width="6.7109375" style="2" customWidth="1"/>
    <col min="6" max="6" width="9.7109375" style="2" customWidth="1"/>
    <col min="7" max="7" width="4.85546875" style="2" bestFit="1" customWidth="1"/>
    <col min="8" max="8" width="6.5703125" style="2" customWidth="1"/>
    <col min="9" max="9" width="5.140625" style="108" customWidth="1"/>
    <col min="10" max="10" width="8.140625" style="2" customWidth="1"/>
    <col min="11" max="11" width="12.140625" style="2" customWidth="1"/>
    <col min="12" max="12" width="8" style="2" customWidth="1"/>
    <col min="13" max="13" width="8.85546875" style="2" customWidth="1"/>
    <col min="14" max="14" width="2.7109375" style="2" customWidth="1"/>
    <col min="15" max="15" width="8" style="2" customWidth="1"/>
    <col min="16" max="16" width="6" style="2" customWidth="1"/>
    <col min="17" max="258" width="11.42578125" style="2"/>
    <col min="259" max="259" width="2.5703125" style="2" customWidth="1"/>
    <col min="260" max="260" width="13.42578125" style="2" bestFit="1" customWidth="1"/>
    <col min="261" max="261" width="6.7109375" style="2" customWidth="1"/>
    <col min="262" max="262" width="14.7109375" style="2" customWidth="1"/>
    <col min="263" max="263" width="4.85546875" style="2" bestFit="1" customWidth="1"/>
    <col min="264" max="264" width="7.7109375" style="2" customWidth="1"/>
    <col min="265" max="265" width="3.85546875" style="2" customWidth="1"/>
    <col min="266" max="266" width="11.42578125" style="2"/>
    <col min="267" max="267" width="13.42578125" style="2" bestFit="1" customWidth="1"/>
    <col min="268" max="268" width="7.7109375" style="2" customWidth="1"/>
    <col min="269" max="269" width="5.140625" style="2" customWidth="1"/>
    <col min="270" max="514" width="11.42578125" style="2"/>
    <col min="515" max="515" width="2.5703125" style="2" customWidth="1"/>
    <col min="516" max="516" width="13.42578125" style="2" bestFit="1" customWidth="1"/>
    <col min="517" max="517" width="6.7109375" style="2" customWidth="1"/>
    <col min="518" max="518" width="14.7109375" style="2" customWidth="1"/>
    <col min="519" max="519" width="4.85546875" style="2" bestFit="1" customWidth="1"/>
    <col min="520" max="520" width="7.7109375" style="2" customWidth="1"/>
    <col min="521" max="521" width="3.85546875" style="2" customWidth="1"/>
    <col min="522" max="522" width="11.42578125" style="2"/>
    <col min="523" max="523" width="13.42578125" style="2" bestFit="1" customWidth="1"/>
    <col min="524" max="524" width="7.7109375" style="2" customWidth="1"/>
    <col min="525" max="525" width="5.140625" style="2" customWidth="1"/>
    <col min="526" max="770" width="11.42578125" style="2"/>
    <col min="771" max="771" width="2.5703125" style="2" customWidth="1"/>
    <col min="772" max="772" width="13.42578125" style="2" bestFit="1" customWidth="1"/>
    <col min="773" max="773" width="6.7109375" style="2" customWidth="1"/>
    <col min="774" max="774" width="14.7109375" style="2" customWidth="1"/>
    <col min="775" max="775" width="4.85546875" style="2" bestFit="1" customWidth="1"/>
    <col min="776" max="776" width="7.7109375" style="2" customWidth="1"/>
    <col min="777" max="777" width="3.85546875" style="2" customWidth="1"/>
    <col min="778" max="778" width="11.42578125" style="2"/>
    <col min="779" max="779" width="13.42578125" style="2" bestFit="1" customWidth="1"/>
    <col min="780" max="780" width="7.7109375" style="2" customWidth="1"/>
    <col min="781" max="781" width="5.140625" style="2" customWidth="1"/>
    <col min="782" max="1026" width="11.42578125" style="2"/>
    <col min="1027" max="1027" width="2.5703125" style="2" customWidth="1"/>
    <col min="1028" max="1028" width="13.42578125" style="2" bestFit="1" customWidth="1"/>
    <col min="1029" max="1029" width="6.7109375" style="2" customWidth="1"/>
    <col min="1030" max="1030" width="14.7109375" style="2" customWidth="1"/>
    <col min="1031" max="1031" width="4.85546875" style="2" bestFit="1" customWidth="1"/>
    <col min="1032" max="1032" width="7.7109375" style="2" customWidth="1"/>
    <col min="1033" max="1033" width="3.85546875" style="2" customWidth="1"/>
    <col min="1034" max="1034" width="11.42578125" style="2"/>
    <col min="1035" max="1035" width="13.42578125" style="2" bestFit="1" customWidth="1"/>
    <col min="1036" max="1036" width="7.7109375" style="2" customWidth="1"/>
    <col min="1037" max="1037" width="5.140625" style="2" customWidth="1"/>
    <col min="1038" max="1282" width="11.42578125" style="2"/>
    <col min="1283" max="1283" width="2.5703125" style="2" customWidth="1"/>
    <col min="1284" max="1284" width="13.42578125" style="2" bestFit="1" customWidth="1"/>
    <col min="1285" max="1285" width="6.7109375" style="2" customWidth="1"/>
    <col min="1286" max="1286" width="14.7109375" style="2" customWidth="1"/>
    <col min="1287" max="1287" width="4.85546875" style="2" bestFit="1" customWidth="1"/>
    <col min="1288" max="1288" width="7.7109375" style="2" customWidth="1"/>
    <col min="1289" max="1289" width="3.85546875" style="2" customWidth="1"/>
    <col min="1290" max="1290" width="11.42578125" style="2"/>
    <col min="1291" max="1291" width="13.42578125" style="2" bestFit="1" customWidth="1"/>
    <col min="1292" max="1292" width="7.7109375" style="2" customWidth="1"/>
    <col min="1293" max="1293" width="5.140625" style="2" customWidth="1"/>
    <col min="1294" max="1538" width="11.42578125" style="2"/>
    <col min="1539" max="1539" width="2.5703125" style="2" customWidth="1"/>
    <col min="1540" max="1540" width="13.42578125" style="2" bestFit="1" customWidth="1"/>
    <col min="1541" max="1541" width="6.7109375" style="2" customWidth="1"/>
    <col min="1542" max="1542" width="14.7109375" style="2" customWidth="1"/>
    <col min="1543" max="1543" width="4.85546875" style="2" bestFit="1" customWidth="1"/>
    <col min="1544" max="1544" width="7.7109375" style="2" customWidth="1"/>
    <col min="1545" max="1545" width="3.85546875" style="2" customWidth="1"/>
    <col min="1546" max="1546" width="11.42578125" style="2"/>
    <col min="1547" max="1547" width="13.42578125" style="2" bestFit="1" customWidth="1"/>
    <col min="1548" max="1548" width="7.7109375" style="2" customWidth="1"/>
    <col min="1549" max="1549" width="5.140625" style="2" customWidth="1"/>
    <col min="1550" max="1794" width="11.42578125" style="2"/>
    <col min="1795" max="1795" width="2.5703125" style="2" customWidth="1"/>
    <col min="1796" max="1796" width="13.42578125" style="2" bestFit="1" customWidth="1"/>
    <col min="1797" max="1797" width="6.7109375" style="2" customWidth="1"/>
    <col min="1798" max="1798" width="14.7109375" style="2" customWidth="1"/>
    <col min="1799" max="1799" width="4.85546875" style="2" bestFit="1" customWidth="1"/>
    <col min="1800" max="1800" width="7.7109375" style="2" customWidth="1"/>
    <col min="1801" max="1801" width="3.85546875" style="2" customWidth="1"/>
    <col min="1802" max="1802" width="11.42578125" style="2"/>
    <col min="1803" max="1803" width="13.42578125" style="2" bestFit="1" customWidth="1"/>
    <col min="1804" max="1804" width="7.7109375" style="2" customWidth="1"/>
    <col min="1805" max="1805" width="5.140625" style="2" customWidth="1"/>
    <col min="1806" max="2050" width="11.42578125" style="2"/>
    <col min="2051" max="2051" width="2.5703125" style="2" customWidth="1"/>
    <col min="2052" max="2052" width="13.42578125" style="2" bestFit="1" customWidth="1"/>
    <col min="2053" max="2053" width="6.7109375" style="2" customWidth="1"/>
    <col min="2054" max="2054" width="14.7109375" style="2" customWidth="1"/>
    <col min="2055" max="2055" width="4.85546875" style="2" bestFit="1" customWidth="1"/>
    <col min="2056" max="2056" width="7.7109375" style="2" customWidth="1"/>
    <col min="2057" max="2057" width="3.85546875" style="2" customWidth="1"/>
    <col min="2058" max="2058" width="11.42578125" style="2"/>
    <col min="2059" max="2059" width="13.42578125" style="2" bestFit="1" customWidth="1"/>
    <col min="2060" max="2060" width="7.7109375" style="2" customWidth="1"/>
    <col min="2061" max="2061" width="5.140625" style="2" customWidth="1"/>
    <col min="2062" max="2306" width="11.42578125" style="2"/>
    <col min="2307" max="2307" width="2.5703125" style="2" customWidth="1"/>
    <col min="2308" max="2308" width="13.42578125" style="2" bestFit="1" customWidth="1"/>
    <col min="2309" max="2309" width="6.7109375" style="2" customWidth="1"/>
    <col min="2310" max="2310" width="14.7109375" style="2" customWidth="1"/>
    <col min="2311" max="2311" width="4.85546875" style="2" bestFit="1" customWidth="1"/>
    <col min="2312" max="2312" width="7.7109375" style="2" customWidth="1"/>
    <col min="2313" max="2313" width="3.85546875" style="2" customWidth="1"/>
    <col min="2314" max="2314" width="11.42578125" style="2"/>
    <col min="2315" max="2315" width="13.42578125" style="2" bestFit="1" customWidth="1"/>
    <col min="2316" max="2316" width="7.7109375" style="2" customWidth="1"/>
    <col min="2317" max="2317" width="5.140625" style="2" customWidth="1"/>
    <col min="2318" max="2562" width="11.42578125" style="2"/>
    <col min="2563" max="2563" width="2.5703125" style="2" customWidth="1"/>
    <col min="2564" max="2564" width="13.42578125" style="2" bestFit="1" customWidth="1"/>
    <col min="2565" max="2565" width="6.7109375" style="2" customWidth="1"/>
    <col min="2566" max="2566" width="14.7109375" style="2" customWidth="1"/>
    <col min="2567" max="2567" width="4.85546875" style="2" bestFit="1" customWidth="1"/>
    <col min="2568" max="2568" width="7.7109375" style="2" customWidth="1"/>
    <col min="2569" max="2569" width="3.85546875" style="2" customWidth="1"/>
    <col min="2570" max="2570" width="11.42578125" style="2"/>
    <col min="2571" max="2571" width="13.42578125" style="2" bestFit="1" customWidth="1"/>
    <col min="2572" max="2572" width="7.7109375" style="2" customWidth="1"/>
    <col min="2573" max="2573" width="5.140625" style="2" customWidth="1"/>
    <col min="2574" max="2818" width="11.42578125" style="2"/>
    <col min="2819" max="2819" width="2.5703125" style="2" customWidth="1"/>
    <col min="2820" max="2820" width="13.42578125" style="2" bestFit="1" customWidth="1"/>
    <col min="2821" max="2821" width="6.7109375" style="2" customWidth="1"/>
    <col min="2822" max="2822" width="14.7109375" style="2" customWidth="1"/>
    <col min="2823" max="2823" width="4.85546875" style="2" bestFit="1" customWidth="1"/>
    <col min="2824" max="2824" width="7.7109375" style="2" customWidth="1"/>
    <col min="2825" max="2825" width="3.85546875" style="2" customWidth="1"/>
    <col min="2826" max="2826" width="11.42578125" style="2"/>
    <col min="2827" max="2827" width="13.42578125" style="2" bestFit="1" customWidth="1"/>
    <col min="2828" max="2828" width="7.7109375" style="2" customWidth="1"/>
    <col min="2829" max="2829" width="5.140625" style="2" customWidth="1"/>
    <col min="2830" max="3074" width="11.42578125" style="2"/>
    <col min="3075" max="3075" width="2.5703125" style="2" customWidth="1"/>
    <col min="3076" max="3076" width="13.42578125" style="2" bestFit="1" customWidth="1"/>
    <col min="3077" max="3077" width="6.7109375" style="2" customWidth="1"/>
    <col min="3078" max="3078" width="14.7109375" style="2" customWidth="1"/>
    <col min="3079" max="3079" width="4.85546875" style="2" bestFit="1" customWidth="1"/>
    <col min="3080" max="3080" width="7.7109375" style="2" customWidth="1"/>
    <col min="3081" max="3081" width="3.85546875" style="2" customWidth="1"/>
    <col min="3082" max="3082" width="11.42578125" style="2"/>
    <col min="3083" max="3083" width="13.42578125" style="2" bestFit="1" customWidth="1"/>
    <col min="3084" max="3084" width="7.7109375" style="2" customWidth="1"/>
    <col min="3085" max="3085" width="5.140625" style="2" customWidth="1"/>
    <col min="3086" max="3330" width="11.42578125" style="2"/>
    <col min="3331" max="3331" width="2.5703125" style="2" customWidth="1"/>
    <col min="3332" max="3332" width="13.42578125" style="2" bestFit="1" customWidth="1"/>
    <col min="3333" max="3333" width="6.7109375" style="2" customWidth="1"/>
    <col min="3334" max="3334" width="14.7109375" style="2" customWidth="1"/>
    <col min="3335" max="3335" width="4.85546875" style="2" bestFit="1" customWidth="1"/>
    <col min="3336" max="3336" width="7.7109375" style="2" customWidth="1"/>
    <col min="3337" max="3337" width="3.85546875" style="2" customWidth="1"/>
    <col min="3338" max="3338" width="11.42578125" style="2"/>
    <col min="3339" max="3339" width="13.42578125" style="2" bestFit="1" customWidth="1"/>
    <col min="3340" max="3340" width="7.7109375" style="2" customWidth="1"/>
    <col min="3341" max="3341" width="5.140625" style="2" customWidth="1"/>
    <col min="3342" max="3586" width="11.42578125" style="2"/>
    <col min="3587" max="3587" width="2.5703125" style="2" customWidth="1"/>
    <col min="3588" max="3588" width="13.42578125" style="2" bestFit="1" customWidth="1"/>
    <col min="3589" max="3589" width="6.7109375" style="2" customWidth="1"/>
    <col min="3590" max="3590" width="14.7109375" style="2" customWidth="1"/>
    <col min="3591" max="3591" width="4.85546875" style="2" bestFit="1" customWidth="1"/>
    <col min="3592" max="3592" width="7.7109375" style="2" customWidth="1"/>
    <col min="3593" max="3593" width="3.85546875" style="2" customWidth="1"/>
    <col min="3594" max="3594" width="11.42578125" style="2"/>
    <col min="3595" max="3595" width="13.42578125" style="2" bestFit="1" customWidth="1"/>
    <col min="3596" max="3596" width="7.7109375" style="2" customWidth="1"/>
    <col min="3597" max="3597" width="5.140625" style="2" customWidth="1"/>
    <col min="3598" max="3842" width="11.42578125" style="2"/>
    <col min="3843" max="3843" width="2.5703125" style="2" customWidth="1"/>
    <col min="3844" max="3844" width="13.42578125" style="2" bestFit="1" customWidth="1"/>
    <col min="3845" max="3845" width="6.7109375" style="2" customWidth="1"/>
    <col min="3846" max="3846" width="14.7109375" style="2" customWidth="1"/>
    <col min="3847" max="3847" width="4.85546875" style="2" bestFit="1" customWidth="1"/>
    <col min="3848" max="3848" width="7.7109375" style="2" customWidth="1"/>
    <col min="3849" max="3849" width="3.85546875" style="2" customWidth="1"/>
    <col min="3850" max="3850" width="11.42578125" style="2"/>
    <col min="3851" max="3851" width="13.42578125" style="2" bestFit="1" customWidth="1"/>
    <col min="3852" max="3852" width="7.7109375" style="2" customWidth="1"/>
    <col min="3853" max="3853" width="5.140625" style="2" customWidth="1"/>
    <col min="3854" max="4098" width="11.42578125" style="2"/>
    <col min="4099" max="4099" width="2.5703125" style="2" customWidth="1"/>
    <col min="4100" max="4100" width="13.42578125" style="2" bestFit="1" customWidth="1"/>
    <col min="4101" max="4101" width="6.7109375" style="2" customWidth="1"/>
    <col min="4102" max="4102" width="14.7109375" style="2" customWidth="1"/>
    <col min="4103" max="4103" width="4.85546875" style="2" bestFit="1" customWidth="1"/>
    <col min="4104" max="4104" width="7.7109375" style="2" customWidth="1"/>
    <col min="4105" max="4105" width="3.85546875" style="2" customWidth="1"/>
    <col min="4106" max="4106" width="11.42578125" style="2"/>
    <col min="4107" max="4107" width="13.42578125" style="2" bestFit="1" customWidth="1"/>
    <col min="4108" max="4108" width="7.7109375" style="2" customWidth="1"/>
    <col min="4109" max="4109" width="5.140625" style="2" customWidth="1"/>
    <col min="4110" max="4354" width="11.42578125" style="2"/>
    <col min="4355" max="4355" width="2.5703125" style="2" customWidth="1"/>
    <col min="4356" max="4356" width="13.42578125" style="2" bestFit="1" customWidth="1"/>
    <col min="4357" max="4357" width="6.7109375" style="2" customWidth="1"/>
    <col min="4358" max="4358" width="14.7109375" style="2" customWidth="1"/>
    <col min="4359" max="4359" width="4.85546875" style="2" bestFit="1" customWidth="1"/>
    <col min="4360" max="4360" width="7.7109375" style="2" customWidth="1"/>
    <col min="4361" max="4361" width="3.85546875" style="2" customWidth="1"/>
    <col min="4362" max="4362" width="11.42578125" style="2"/>
    <col min="4363" max="4363" width="13.42578125" style="2" bestFit="1" customWidth="1"/>
    <col min="4364" max="4364" width="7.7109375" style="2" customWidth="1"/>
    <col min="4365" max="4365" width="5.140625" style="2" customWidth="1"/>
    <col min="4366" max="4610" width="11.42578125" style="2"/>
    <col min="4611" max="4611" width="2.5703125" style="2" customWidth="1"/>
    <col min="4612" max="4612" width="13.42578125" style="2" bestFit="1" customWidth="1"/>
    <col min="4613" max="4613" width="6.7109375" style="2" customWidth="1"/>
    <col min="4614" max="4614" width="14.7109375" style="2" customWidth="1"/>
    <col min="4615" max="4615" width="4.85546875" style="2" bestFit="1" customWidth="1"/>
    <col min="4616" max="4616" width="7.7109375" style="2" customWidth="1"/>
    <col min="4617" max="4617" width="3.85546875" style="2" customWidth="1"/>
    <col min="4618" max="4618" width="11.42578125" style="2"/>
    <col min="4619" max="4619" width="13.42578125" style="2" bestFit="1" customWidth="1"/>
    <col min="4620" max="4620" width="7.7109375" style="2" customWidth="1"/>
    <col min="4621" max="4621" width="5.140625" style="2" customWidth="1"/>
    <col min="4622" max="4866" width="11.42578125" style="2"/>
    <col min="4867" max="4867" width="2.5703125" style="2" customWidth="1"/>
    <col min="4868" max="4868" width="13.42578125" style="2" bestFit="1" customWidth="1"/>
    <col min="4869" max="4869" width="6.7109375" style="2" customWidth="1"/>
    <col min="4870" max="4870" width="14.7109375" style="2" customWidth="1"/>
    <col min="4871" max="4871" width="4.85546875" style="2" bestFit="1" customWidth="1"/>
    <col min="4872" max="4872" width="7.7109375" style="2" customWidth="1"/>
    <col min="4873" max="4873" width="3.85546875" style="2" customWidth="1"/>
    <col min="4874" max="4874" width="11.42578125" style="2"/>
    <col min="4875" max="4875" width="13.42578125" style="2" bestFit="1" customWidth="1"/>
    <col min="4876" max="4876" width="7.7109375" style="2" customWidth="1"/>
    <col min="4877" max="4877" width="5.140625" style="2" customWidth="1"/>
    <col min="4878" max="5122" width="11.42578125" style="2"/>
    <col min="5123" max="5123" width="2.5703125" style="2" customWidth="1"/>
    <col min="5124" max="5124" width="13.42578125" style="2" bestFit="1" customWidth="1"/>
    <col min="5125" max="5125" width="6.7109375" style="2" customWidth="1"/>
    <col min="5126" max="5126" width="14.7109375" style="2" customWidth="1"/>
    <col min="5127" max="5127" width="4.85546875" style="2" bestFit="1" customWidth="1"/>
    <col min="5128" max="5128" width="7.7109375" style="2" customWidth="1"/>
    <col min="5129" max="5129" width="3.85546875" style="2" customWidth="1"/>
    <col min="5130" max="5130" width="11.42578125" style="2"/>
    <col min="5131" max="5131" width="13.42578125" style="2" bestFit="1" customWidth="1"/>
    <col min="5132" max="5132" width="7.7109375" style="2" customWidth="1"/>
    <col min="5133" max="5133" width="5.140625" style="2" customWidth="1"/>
    <col min="5134" max="5378" width="11.42578125" style="2"/>
    <col min="5379" max="5379" width="2.5703125" style="2" customWidth="1"/>
    <col min="5380" max="5380" width="13.42578125" style="2" bestFit="1" customWidth="1"/>
    <col min="5381" max="5381" width="6.7109375" style="2" customWidth="1"/>
    <col min="5382" max="5382" width="14.7109375" style="2" customWidth="1"/>
    <col min="5383" max="5383" width="4.85546875" style="2" bestFit="1" customWidth="1"/>
    <col min="5384" max="5384" width="7.7109375" style="2" customWidth="1"/>
    <col min="5385" max="5385" width="3.85546875" style="2" customWidth="1"/>
    <col min="5386" max="5386" width="11.42578125" style="2"/>
    <col min="5387" max="5387" width="13.42578125" style="2" bestFit="1" customWidth="1"/>
    <col min="5388" max="5388" width="7.7109375" style="2" customWidth="1"/>
    <col min="5389" max="5389" width="5.140625" style="2" customWidth="1"/>
    <col min="5390" max="5634" width="11.42578125" style="2"/>
    <col min="5635" max="5635" width="2.5703125" style="2" customWidth="1"/>
    <col min="5636" max="5636" width="13.42578125" style="2" bestFit="1" customWidth="1"/>
    <col min="5637" max="5637" width="6.7109375" style="2" customWidth="1"/>
    <col min="5638" max="5638" width="14.7109375" style="2" customWidth="1"/>
    <col min="5639" max="5639" width="4.85546875" style="2" bestFit="1" customWidth="1"/>
    <col min="5640" max="5640" width="7.7109375" style="2" customWidth="1"/>
    <col min="5641" max="5641" width="3.85546875" style="2" customWidth="1"/>
    <col min="5642" max="5642" width="11.42578125" style="2"/>
    <col min="5643" max="5643" width="13.42578125" style="2" bestFit="1" customWidth="1"/>
    <col min="5644" max="5644" width="7.7109375" style="2" customWidth="1"/>
    <col min="5645" max="5645" width="5.140625" style="2" customWidth="1"/>
    <col min="5646" max="5890" width="11.42578125" style="2"/>
    <col min="5891" max="5891" width="2.5703125" style="2" customWidth="1"/>
    <col min="5892" max="5892" width="13.42578125" style="2" bestFit="1" customWidth="1"/>
    <col min="5893" max="5893" width="6.7109375" style="2" customWidth="1"/>
    <col min="5894" max="5894" width="14.7109375" style="2" customWidth="1"/>
    <col min="5895" max="5895" width="4.85546875" style="2" bestFit="1" customWidth="1"/>
    <col min="5896" max="5896" width="7.7109375" style="2" customWidth="1"/>
    <col min="5897" max="5897" width="3.85546875" style="2" customWidth="1"/>
    <col min="5898" max="5898" width="11.42578125" style="2"/>
    <col min="5899" max="5899" width="13.42578125" style="2" bestFit="1" customWidth="1"/>
    <col min="5900" max="5900" width="7.7109375" style="2" customWidth="1"/>
    <col min="5901" max="5901" width="5.140625" style="2" customWidth="1"/>
    <col min="5902" max="6146" width="11.42578125" style="2"/>
    <col min="6147" max="6147" width="2.5703125" style="2" customWidth="1"/>
    <col min="6148" max="6148" width="13.42578125" style="2" bestFit="1" customWidth="1"/>
    <col min="6149" max="6149" width="6.7109375" style="2" customWidth="1"/>
    <col min="6150" max="6150" width="14.7109375" style="2" customWidth="1"/>
    <col min="6151" max="6151" width="4.85546875" style="2" bestFit="1" customWidth="1"/>
    <col min="6152" max="6152" width="7.7109375" style="2" customWidth="1"/>
    <col min="6153" max="6153" width="3.85546875" style="2" customWidth="1"/>
    <col min="6154" max="6154" width="11.42578125" style="2"/>
    <col min="6155" max="6155" width="13.42578125" style="2" bestFit="1" customWidth="1"/>
    <col min="6156" max="6156" width="7.7109375" style="2" customWidth="1"/>
    <col min="6157" max="6157" width="5.140625" style="2" customWidth="1"/>
    <col min="6158" max="6402" width="11.42578125" style="2"/>
    <col min="6403" max="6403" width="2.5703125" style="2" customWidth="1"/>
    <col min="6404" max="6404" width="13.42578125" style="2" bestFit="1" customWidth="1"/>
    <col min="6405" max="6405" width="6.7109375" style="2" customWidth="1"/>
    <col min="6406" max="6406" width="14.7109375" style="2" customWidth="1"/>
    <col min="6407" max="6407" width="4.85546875" style="2" bestFit="1" customWidth="1"/>
    <col min="6408" max="6408" width="7.7109375" style="2" customWidth="1"/>
    <col min="6409" max="6409" width="3.85546875" style="2" customWidth="1"/>
    <col min="6410" max="6410" width="11.42578125" style="2"/>
    <col min="6411" max="6411" width="13.42578125" style="2" bestFit="1" customWidth="1"/>
    <col min="6412" max="6412" width="7.7109375" style="2" customWidth="1"/>
    <col min="6413" max="6413" width="5.140625" style="2" customWidth="1"/>
    <col min="6414" max="6658" width="11.42578125" style="2"/>
    <col min="6659" max="6659" width="2.5703125" style="2" customWidth="1"/>
    <col min="6660" max="6660" width="13.42578125" style="2" bestFit="1" customWidth="1"/>
    <col min="6661" max="6661" width="6.7109375" style="2" customWidth="1"/>
    <col min="6662" max="6662" width="14.7109375" style="2" customWidth="1"/>
    <col min="6663" max="6663" width="4.85546875" style="2" bestFit="1" customWidth="1"/>
    <col min="6664" max="6664" width="7.7109375" style="2" customWidth="1"/>
    <col min="6665" max="6665" width="3.85546875" style="2" customWidth="1"/>
    <col min="6666" max="6666" width="11.42578125" style="2"/>
    <col min="6667" max="6667" width="13.42578125" style="2" bestFit="1" customWidth="1"/>
    <col min="6668" max="6668" width="7.7109375" style="2" customWidth="1"/>
    <col min="6669" max="6669" width="5.140625" style="2" customWidth="1"/>
    <col min="6670" max="6914" width="11.42578125" style="2"/>
    <col min="6915" max="6915" width="2.5703125" style="2" customWidth="1"/>
    <col min="6916" max="6916" width="13.42578125" style="2" bestFit="1" customWidth="1"/>
    <col min="6917" max="6917" width="6.7109375" style="2" customWidth="1"/>
    <col min="6918" max="6918" width="14.7109375" style="2" customWidth="1"/>
    <col min="6919" max="6919" width="4.85546875" style="2" bestFit="1" customWidth="1"/>
    <col min="6920" max="6920" width="7.7109375" style="2" customWidth="1"/>
    <col min="6921" max="6921" width="3.85546875" style="2" customWidth="1"/>
    <col min="6922" max="6922" width="11.42578125" style="2"/>
    <col min="6923" max="6923" width="13.42578125" style="2" bestFit="1" customWidth="1"/>
    <col min="6924" max="6924" width="7.7109375" style="2" customWidth="1"/>
    <col min="6925" max="6925" width="5.140625" style="2" customWidth="1"/>
    <col min="6926" max="7170" width="11.42578125" style="2"/>
    <col min="7171" max="7171" width="2.5703125" style="2" customWidth="1"/>
    <col min="7172" max="7172" width="13.42578125" style="2" bestFit="1" customWidth="1"/>
    <col min="7173" max="7173" width="6.7109375" style="2" customWidth="1"/>
    <col min="7174" max="7174" width="14.7109375" style="2" customWidth="1"/>
    <col min="7175" max="7175" width="4.85546875" style="2" bestFit="1" customWidth="1"/>
    <col min="7176" max="7176" width="7.7109375" style="2" customWidth="1"/>
    <col min="7177" max="7177" width="3.85546875" style="2" customWidth="1"/>
    <col min="7178" max="7178" width="11.42578125" style="2"/>
    <col min="7179" max="7179" width="13.42578125" style="2" bestFit="1" customWidth="1"/>
    <col min="7180" max="7180" width="7.7109375" style="2" customWidth="1"/>
    <col min="7181" max="7181" width="5.140625" style="2" customWidth="1"/>
    <col min="7182" max="7426" width="11.42578125" style="2"/>
    <col min="7427" max="7427" width="2.5703125" style="2" customWidth="1"/>
    <col min="7428" max="7428" width="13.42578125" style="2" bestFit="1" customWidth="1"/>
    <col min="7429" max="7429" width="6.7109375" style="2" customWidth="1"/>
    <col min="7430" max="7430" width="14.7109375" style="2" customWidth="1"/>
    <col min="7431" max="7431" width="4.85546875" style="2" bestFit="1" customWidth="1"/>
    <col min="7432" max="7432" width="7.7109375" style="2" customWidth="1"/>
    <col min="7433" max="7433" width="3.85546875" style="2" customWidth="1"/>
    <col min="7434" max="7434" width="11.42578125" style="2"/>
    <col min="7435" max="7435" width="13.42578125" style="2" bestFit="1" customWidth="1"/>
    <col min="7436" max="7436" width="7.7109375" style="2" customWidth="1"/>
    <col min="7437" max="7437" width="5.140625" style="2" customWidth="1"/>
    <col min="7438" max="7682" width="11.42578125" style="2"/>
    <col min="7683" max="7683" width="2.5703125" style="2" customWidth="1"/>
    <col min="7684" max="7684" width="13.42578125" style="2" bestFit="1" customWidth="1"/>
    <col min="7685" max="7685" width="6.7109375" style="2" customWidth="1"/>
    <col min="7686" max="7686" width="14.7109375" style="2" customWidth="1"/>
    <col min="7687" max="7687" width="4.85546875" style="2" bestFit="1" customWidth="1"/>
    <col min="7688" max="7688" width="7.7109375" style="2" customWidth="1"/>
    <col min="7689" max="7689" width="3.85546875" style="2" customWidth="1"/>
    <col min="7690" max="7690" width="11.42578125" style="2"/>
    <col min="7691" max="7691" width="13.42578125" style="2" bestFit="1" customWidth="1"/>
    <col min="7692" max="7692" width="7.7109375" style="2" customWidth="1"/>
    <col min="7693" max="7693" width="5.140625" style="2" customWidth="1"/>
    <col min="7694" max="7938" width="11.42578125" style="2"/>
    <col min="7939" max="7939" width="2.5703125" style="2" customWidth="1"/>
    <col min="7940" max="7940" width="13.42578125" style="2" bestFit="1" customWidth="1"/>
    <col min="7941" max="7941" width="6.7109375" style="2" customWidth="1"/>
    <col min="7942" max="7942" width="14.7109375" style="2" customWidth="1"/>
    <col min="7943" max="7943" width="4.85546875" style="2" bestFit="1" customWidth="1"/>
    <col min="7944" max="7944" width="7.7109375" style="2" customWidth="1"/>
    <col min="7945" max="7945" width="3.85546875" style="2" customWidth="1"/>
    <col min="7946" max="7946" width="11.42578125" style="2"/>
    <col min="7947" max="7947" width="13.42578125" style="2" bestFit="1" customWidth="1"/>
    <col min="7948" max="7948" width="7.7109375" style="2" customWidth="1"/>
    <col min="7949" max="7949" width="5.140625" style="2" customWidth="1"/>
    <col min="7950" max="8194" width="11.42578125" style="2"/>
    <col min="8195" max="8195" width="2.5703125" style="2" customWidth="1"/>
    <col min="8196" max="8196" width="13.42578125" style="2" bestFit="1" customWidth="1"/>
    <col min="8197" max="8197" width="6.7109375" style="2" customWidth="1"/>
    <col min="8198" max="8198" width="14.7109375" style="2" customWidth="1"/>
    <col min="8199" max="8199" width="4.85546875" style="2" bestFit="1" customWidth="1"/>
    <col min="8200" max="8200" width="7.7109375" style="2" customWidth="1"/>
    <col min="8201" max="8201" width="3.85546875" style="2" customWidth="1"/>
    <col min="8202" max="8202" width="11.42578125" style="2"/>
    <col min="8203" max="8203" width="13.42578125" style="2" bestFit="1" customWidth="1"/>
    <col min="8204" max="8204" width="7.7109375" style="2" customWidth="1"/>
    <col min="8205" max="8205" width="5.140625" style="2" customWidth="1"/>
    <col min="8206" max="8450" width="11.42578125" style="2"/>
    <col min="8451" max="8451" width="2.5703125" style="2" customWidth="1"/>
    <col min="8452" max="8452" width="13.42578125" style="2" bestFit="1" customWidth="1"/>
    <col min="8453" max="8453" width="6.7109375" style="2" customWidth="1"/>
    <col min="8454" max="8454" width="14.7109375" style="2" customWidth="1"/>
    <col min="8455" max="8455" width="4.85546875" style="2" bestFit="1" customWidth="1"/>
    <col min="8456" max="8456" width="7.7109375" style="2" customWidth="1"/>
    <col min="8457" max="8457" width="3.85546875" style="2" customWidth="1"/>
    <col min="8458" max="8458" width="11.42578125" style="2"/>
    <col min="8459" max="8459" width="13.42578125" style="2" bestFit="1" customWidth="1"/>
    <col min="8460" max="8460" width="7.7109375" style="2" customWidth="1"/>
    <col min="8461" max="8461" width="5.140625" style="2" customWidth="1"/>
    <col min="8462" max="8706" width="11.42578125" style="2"/>
    <col min="8707" max="8707" width="2.5703125" style="2" customWidth="1"/>
    <col min="8708" max="8708" width="13.42578125" style="2" bestFit="1" customWidth="1"/>
    <col min="8709" max="8709" width="6.7109375" style="2" customWidth="1"/>
    <col min="8710" max="8710" width="14.7109375" style="2" customWidth="1"/>
    <col min="8711" max="8711" width="4.85546875" style="2" bestFit="1" customWidth="1"/>
    <col min="8712" max="8712" width="7.7109375" style="2" customWidth="1"/>
    <col min="8713" max="8713" width="3.85546875" style="2" customWidth="1"/>
    <col min="8714" max="8714" width="11.42578125" style="2"/>
    <col min="8715" max="8715" width="13.42578125" style="2" bestFit="1" customWidth="1"/>
    <col min="8716" max="8716" width="7.7109375" style="2" customWidth="1"/>
    <col min="8717" max="8717" width="5.140625" style="2" customWidth="1"/>
    <col min="8718" max="8962" width="11.42578125" style="2"/>
    <col min="8963" max="8963" width="2.5703125" style="2" customWidth="1"/>
    <col min="8964" max="8964" width="13.42578125" style="2" bestFit="1" customWidth="1"/>
    <col min="8965" max="8965" width="6.7109375" style="2" customWidth="1"/>
    <col min="8966" max="8966" width="14.7109375" style="2" customWidth="1"/>
    <col min="8967" max="8967" width="4.85546875" style="2" bestFit="1" customWidth="1"/>
    <col min="8968" max="8968" width="7.7109375" style="2" customWidth="1"/>
    <col min="8969" max="8969" width="3.85546875" style="2" customWidth="1"/>
    <col min="8970" max="8970" width="11.42578125" style="2"/>
    <col min="8971" max="8971" width="13.42578125" style="2" bestFit="1" customWidth="1"/>
    <col min="8972" max="8972" width="7.7109375" style="2" customWidth="1"/>
    <col min="8973" max="8973" width="5.140625" style="2" customWidth="1"/>
    <col min="8974" max="9218" width="11.42578125" style="2"/>
    <col min="9219" max="9219" width="2.5703125" style="2" customWidth="1"/>
    <col min="9220" max="9220" width="13.42578125" style="2" bestFit="1" customWidth="1"/>
    <col min="9221" max="9221" width="6.7109375" style="2" customWidth="1"/>
    <col min="9222" max="9222" width="14.7109375" style="2" customWidth="1"/>
    <col min="9223" max="9223" width="4.85546875" style="2" bestFit="1" customWidth="1"/>
    <col min="9224" max="9224" width="7.7109375" style="2" customWidth="1"/>
    <col min="9225" max="9225" width="3.85546875" style="2" customWidth="1"/>
    <col min="9226" max="9226" width="11.42578125" style="2"/>
    <col min="9227" max="9227" width="13.42578125" style="2" bestFit="1" customWidth="1"/>
    <col min="9228" max="9228" width="7.7109375" style="2" customWidth="1"/>
    <col min="9229" max="9229" width="5.140625" style="2" customWidth="1"/>
    <col min="9230" max="9474" width="11.42578125" style="2"/>
    <col min="9475" max="9475" width="2.5703125" style="2" customWidth="1"/>
    <col min="9476" max="9476" width="13.42578125" style="2" bestFit="1" customWidth="1"/>
    <col min="9477" max="9477" width="6.7109375" style="2" customWidth="1"/>
    <col min="9478" max="9478" width="14.7109375" style="2" customWidth="1"/>
    <col min="9479" max="9479" width="4.85546875" style="2" bestFit="1" customWidth="1"/>
    <col min="9480" max="9480" width="7.7109375" style="2" customWidth="1"/>
    <col min="9481" max="9481" width="3.85546875" style="2" customWidth="1"/>
    <col min="9482" max="9482" width="11.42578125" style="2"/>
    <col min="9483" max="9483" width="13.42578125" style="2" bestFit="1" customWidth="1"/>
    <col min="9484" max="9484" width="7.7109375" style="2" customWidth="1"/>
    <col min="9485" max="9485" width="5.140625" style="2" customWidth="1"/>
    <col min="9486" max="9730" width="11.42578125" style="2"/>
    <col min="9731" max="9731" width="2.5703125" style="2" customWidth="1"/>
    <col min="9732" max="9732" width="13.42578125" style="2" bestFit="1" customWidth="1"/>
    <col min="9733" max="9733" width="6.7109375" style="2" customWidth="1"/>
    <col min="9734" max="9734" width="14.7109375" style="2" customWidth="1"/>
    <col min="9735" max="9735" width="4.85546875" style="2" bestFit="1" customWidth="1"/>
    <col min="9736" max="9736" width="7.7109375" style="2" customWidth="1"/>
    <col min="9737" max="9737" width="3.85546875" style="2" customWidth="1"/>
    <col min="9738" max="9738" width="11.42578125" style="2"/>
    <col min="9739" max="9739" width="13.42578125" style="2" bestFit="1" customWidth="1"/>
    <col min="9740" max="9740" width="7.7109375" style="2" customWidth="1"/>
    <col min="9741" max="9741" width="5.140625" style="2" customWidth="1"/>
    <col min="9742" max="9986" width="11.42578125" style="2"/>
    <col min="9987" max="9987" width="2.5703125" style="2" customWidth="1"/>
    <col min="9988" max="9988" width="13.42578125" style="2" bestFit="1" customWidth="1"/>
    <col min="9989" max="9989" width="6.7109375" style="2" customWidth="1"/>
    <col min="9990" max="9990" width="14.7109375" style="2" customWidth="1"/>
    <col min="9991" max="9991" width="4.85546875" style="2" bestFit="1" customWidth="1"/>
    <col min="9992" max="9992" width="7.7109375" style="2" customWidth="1"/>
    <col min="9993" max="9993" width="3.85546875" style="2" customWidth="1"/>
    <col min="9994" max="9994" width="11.42578125" style="2"/>
    <col min="9995" max="9995" width="13.42578125" style="2" bestFit="1" customWidth="1"/>
    <col min="9996" max="9996" width="7.7109375" style="2" customWidth="1"/>
    <col min="9997" max="9997" width="5.140625" style="2" customWidth="1"/>
    <col min="9998" max="10242" width="11.42578125" style="2"/>
    <col min="10243" max="10243" width="2.5703125" style="2" customWidth="1"/>
    <col min="10244" max="10244" width="13.42578125" style="2" bestFit="1" customWidth="1"/>
    <col min="10245" max="10245" width="6.7109375" style="2" customWidth="1"/>
    <col min="10246" max="10246" width="14.7109375" style="2" customWidth="1"/>
    <col min="10247" max="10247" width="4.85546875" style="2" bestFit="1" customWidth="1"/>
    <col min="10248" max="10248" width="7.7109375" style="2" customWidth="1"/>
    <col min="10249" max="10249" width="3.85546875" style="2" customWidth="1"/>
    <col min="10250" max="10250" width="11.42578125" style="2"/>
    <col min="10251" max="10251" width="13.42578125" style="2" bestFit="1" customWidth="1"/>
    <col min="10252" max="10252" width="7.7109375" style="2" customWidth="1"/>
    <col min="10253" max="10253" width="5.140625" style="2" customWidth="1"/>
    <col min="10254" max="10498" width="11.42578125" style="2"/>
    <col min="10499" max="10499" width="2.5703125" style="2" customWidth="1"/>
    <col min="10500" max="10500" width="13.42578125" style="2" bestFit="1" customWidth="1"/>
    <col min="10501" max="10501" width="6.7109375" style="2" customWidth="1"/>
    <col min="10502" max="10502" width="14.7109375" style="2" customWidth="1"/>
    <col min="10503" max="10503" width="4.85546875" style="2" bestFit="1" customWidth="1"/>
    <col min="10504" max="10504" width="7.7109375" style="2" customWidth="1"/>
    <col min="10505" max="10505" width="3.85546875" style="2" customWidth="1"/>
    <col min="10506" max="10506" width="11.42578125" style="2"/>
    <col min="10507" max="10507" width="13.42578125" style="2" bestFit="1" customWidth="1"/>
    <col min="10508" max="10508" width="7.7109375" style="2" customWidth="1"/>
    <col min="10509" max="10509" width="5.140625" style="2" customWidth="1"/>
    <col min="10510" max="10754" width="11.42578125" style="2"/>
    <col min="10755" max="10755" width="2.5703125" style="2" customWidth="1"/>
    <col min="10756" max="10756" width="13.42578125" style="2" bestFit="1" customWidth="1"/>
    <col min="10757" max="10757" width="6.7109375" style="2" customWidth="1"/>
    <col min="10758" max="10758" width="14.7109375" style="2" customWidth="1"/>
    <col min="10759" max="10759" width="4.85546875" style="2" bestFit="1" customWidth="1"/>
    <col min="10760" max="10760" width="7.7109375" style="2" customWidth="1"/>
    <col min="10761" max="10761" width="3.85546875" style="2" customWidth="1"/>
    <col min="10762" max="10762" width="11.42578125" style="2"/>
    <col min="10763" max="10763" width="13.42578125" style="2" bestFit="1" customWidth="1"/>
    <col min="10764" max="10764" width="7.7109375" style="2" customWidth="1"/>
    <col min="10765" max="10765" width="5.140625" style="2" customWidth="1"/>
    <col min="10766" max="11010" width="11.42578125" style="2"/>
    <col min="11011" max="11011" width="2.5703125" style="2" customWidth="1"/>
    <col min="11012" max="11012" width="13.42578125" style="2" bestFit="1" customWidth="1"/>
    <col min="11013" max="11013" width="6.7109375" style="2" customWidth="1"/>
    <col min="11014" max="11014" width="14.7109375" style="2" customWidth="1"/>
    <col min="11015" max="11015" width="4.85546875" style="2" bestFit="1" customWidth="1"/>
    <col min="11016" max="11016" width="7.7109375" style="2" customWidth="1"/>
    <col min="11017" max="11017" width="3.85546875" style="2" customWidth="1"/>
    <col min="11018" max="11018" width="11.42578125" style="2"/>
    <col min="11019" max="11019" width="13.42578125" style="2" bestFit="1" customWidth="1"/>
    <col min="11020" max="11020" width="7.7109375" style="2" customWidth="1"/>
    <col min="11021" max="11021" width="5.140625" style="2" customWidth="1"/>
    <col min="11022" max="11266" width="11.42578125" style="2"/>
    <col min="11267" max="11267" width="2.5703125" style="2" customWidth="1"/>
    <col min="11268" max="11268" width="13.42578125" style="2" bestFit="1" customWidth="1"/>
    <col min="11269" max="11269" width="6.7109375" style="2" customWidth="1"/>
    <col min="11270" max="11270" width="14.7109375" style="2" customWidth="1"/>
    <col min="11271" max="11271" width="4.85546875" style="2" bestFit="1" customWidth="1"/>
    <col min="11272" max="11272" width="7.7109375" style="2" customWidth="1"/>
    <col min="11273" max="11273" width="3.85546875" style="2" customWidth="1"/>
    <col min="11274" max="11274" width="11.42578125" style="2"/>
    <col min="11275" max="11275" width="13.42578125" style="2" bestFit="1" customWidth="1"/>
    <col min="11276" max="11276" width="7.7109375" style="2" customWidth="1"/>
    <col min="11277" max="11277" width="5.140625" style="2" customWidth="1"/>
    <col min="11278" max="11522" width="11.42578125" style="2"/>
    <col min="11523" max="11523" width="2.5703125" style="2" customWidth="1"/>
    <col min="11524" max="11524" width="13.42578125" style="2" bestFit="1" customWidth="1"/>
    <col min="11525" max="11525" width="6.7109375" style="2" customWidth="1"/>
    <col min="11526" max="11526" width="14.7109375" style="2" customWidth="1"/>
    <col min="11527" max="11527" width="4.85546875" style="2" bestFit="1" customWidth="1"/>
    <col min="11528" max="11528" width="7.7109375" style="2" customWidth="1"/>
    <col min="11529" max="11529" width="3.85546875" style="2" customWidth="1"/>
    <col min="11530" max="11530" width="11.42578125" style="2"/>
    <col min="11531" max="11531" width="13.42578125" style="2" bestFit="1" customWidth="1"/>
    <col min="11532" max="11532" width="7.7109375" style="2" customWidth="1"/>
    <col min="11533" max="11533" width="5.140625" style="2" customWidth="1"/>
    <col min="11534" max="11778" width="11.42578125" style="2"/>
    <col min="11779" max="11779" width="2.5703125" style="2" customWidth="1"/>
    <col min="11780" max="11780" width="13.42578125" style="2" bestFit="1" customWidth="1"/>
    <col min="11781" max="11781" width="6.7109375" style="2" customWidth="1"/>
    <col min="11782" max="11782" width="14.7109375" style="2" customWidth="1"/>
    <col min="11783" max="11783" width="4.85546875" style="2" bestFit="1" customWidth="1"/>
    <col min="11784" max="11784" width="7.7109375" style="2" customWidth="1"/>
    <col min="11785" max="11785" width="3.85546875" style="2" customWidth="1"/>
    <col min="11786" max="11786" width="11.42578125" style="2"/>
    <col min="11787" max="11787" width="13.42578125" style="2" bestFit="1" customWidth="1"/>
    <col min="11788" max="11788" width="7.7109375" style="2" customWidth="1"/>
    <col min="11789" max="11789" width="5.140625" style="2" customWidth="1"/>
    <col min="11790" max="12034" width="11.42578125" style="2"/>
    <col min="12035" max="12035" width="2.5703125" style="2" customWidth="1"/>
    <col min="12036" max="12036" width="13.42578125" style="2" bestFit="1" customWidth="1"/>
    <col min="12037" max="12037" width="6.7109375" style="2" customWidth="1"/>
    <col min="12038" max="12038" width="14.7109375" style="2" customWidth="1"/>
    <col min="12039" max="12039" width="4.85546875" style="2" bestFit="1" customWidth="1"/>
    <col min="12040" max="12040" width="7.7109375" style="2" customWidth="1"/>
    <col min="12041" max="12041" width="3.85546875" style="2" customWidth="1"/>
    <col min="12042" max="12042" width="11.42578125" style="2"/>
    <col min="12043" max="12043" width="13.42578125" style="2" bestFit="1" customWidth="1"/>
    <col min="12044" max="12044" width="7.7109375" style="2" customWidth="1"/>
    <col min="12045" max="12045" width="5.140625" style="2" customWidth="1"/>
    <col min="12046" max="12290" width="11.42578125" style="2"/>
    <col min="12291" max="12291" width="2.5703125" style="2" customWidth="1"/>
    <col min="12292" max="12292" width="13.42578125" style="2" bestFit="1" customWidth="1"/>
    <col min="12293" max="12293" width="6.7109375" style="2" customWidth="1"/>
    <col min="12294" max="12294" width="14.7109375" style="2" customWidth="1"/>
    <col min="12295" max="12295" width="4.85546875" style="2" bestFit="1" customWidth="1"/>
    <col min="12296" max="12296" width="7.7109375" style="2" customWidth="1"/>
    <col min="12297" max="12297" width="3.85546875" style="2" customWidth="1"/>
    <col min="12298" max="12298" width="11.42578125" style="2"/>
    <col min="12299" max="12299" width="13.42578125" style="2" bestFit="1" customWidth="1"/>
    <col min="12300" max="12300" width="7.7109375" style="2" customWidth="1"/>
    <col min="12301" max="12301" width="5.140625" style="2" customWidth="1"/>
    <col min="12302" max="12546" width="11.42578125" style="2"/>
    <col min="12547" max="12547" width="2.5703125" style="2" customWidth="1"/>
    <col min="12548" max="12548" width="13.42578125" style="2" bestFit="1" customWidth="1"/>
    <col min="12549" max="12549" width="6.7109375" style="2" customWidth="1"/>
    <col min="12550" max="12550" width="14.7109375" style="2" customWidth="1"/>
    <col min="12551" max="12551" width="4.85546875" style="2" bestFit="1" customWidth="1"/>
    <col min="12552" max="12552" width="7.7109375" style="2" customWidth="1"/>
    <col min="12553" max="12553" width="3.85546875" style="2" customWidth="1"/>
    <col min="12554" max="12554" width="11.42578125" style="2"/>
    <col min="12555" max="12555" width="13.42578125" style="2" bestFit="1" customWidth="1"/>
    <col min="12556" max="12556" width="7.7109375" style="2" customWidth="1"/>
    <col min="12557" max="12557" width="5.140625" style="2" customWidth="1"/>
    <col min="12558" max="12802" width="11.42578125" style="2"/>
    <col min="12803" max="12803" width="2.5703125" style="2" customWidth="1"/>
    <col min="12804" max="12804" width="13.42578125" style="2" bestFit="1" customWidth="1"/>
    <col min="12805" max="12805" width="6.7109375" style="2" customWidth="1"/>
    <col min="12806" max="12806" width="14.7109375" style="2" customWidth="1"/>
    <col min="12807" max="12807" width="4.85546875" style="2" bestFit="1" customWidth="1"/>
    <col min="12808" max="12808" width="7.7109375" style="2" customWidth="1"/>
    <col min="12809" max="12809" width="3.85546875" style="2" customWidth="1"/>
    <col min="12810" max="12810" width="11.42578125" style="2"/>
    <col min="12811" max="12811" width="13.42578125" style="2" bestFit="1" customWidth="1"/>
    <col min="12812" max="12812" width="7.7109375" style="2" customWidth="1"/>
    <col min="12813" max="12813" width="5.140625" style="2" customWidth="1"/>
    <col min="12814" max="13058" width="11.42578125" style="2"/>
    <col min="13059" max="13059" width="2.5703125" style="2" customWidth="1"/>
    <col min="13060" max="13060" width="13.42578125" style="2" bestFit="1" customWidth="1"/>
    <col min="13061" max="13061" width="6.7109375" style="2" customWidth="1"/>
    <col min="13062" max="13062" width="14.7109375" style="2" customWidth="1"/>
    <col min="13063" max="13063" width="4.85546875" style="2" bestFit="1" customWidth="1"/>
    <col min="13064" max="13064" width="7.7109375" style="2" customWidth="1"/>
    <col min="13065" max="13065" width="3.85546875" style="2" customWidth="1"/>
    <col min="13066" max="13066" width="11.42578125" style="2"/>
    <col min="13067" max="13067" width="13.42578125" style="2" bestFit="1" customWidth="1"/>
    <col min="13068" max="13068" width="7.7109375" style="2" customWidth="1"/>
    <col min="13069" max="13069" width="5.140625" style="2" customWidth="1"/>
    <col min="13070" max="13314" width="11.42578125" style="2"/>
    <col min="13315" max="13315" width="2.5703125" style="2" customWidth="1"/>
    <col min="13316" max="13316" width="13.42578125" style="2" bestFit="1" customWidth="1"/>
    <col min="13317" max="13317" width="6.7109375" style="2" customWidth="1"/>
    <col min="13318" max="13318" width="14.7109375" style="2" customWidth="1"/>
    <col min="13319" max="13319" width="4.85546875" style="2" bestFit="1" customWidth="1"/>
    <col min="13320" max="13320" width="7.7109375" style="2" customWidth="1"/>
    <col min="13321" max="13321" width="3.85546875" style="2" customWidth="1"/>
    <col min="13322" max="13322" width="11.42578125" style="2"/>
    <col min="13323" max="13323" width="13.42578125" style="2" bestFit="1" customWidth="1"/>
    <col min="13324" max="13324" width="7.7109375" style="2" customWidth="1"/>
    <col min="13325" max="13325" width="5.140625" style="2" customWidth="1"/>
    <col min="13326" max="13570" width="11.42578125" style="2"/>
    <col min="13571" max="13571" width="2.5703125" style="2" customWidth="1"/>
    <col min="13572" max="13572" width="13.42578125" style="2" bestFit="1" customWidth="1"/>
    <col min="13573" max="13573" width="6.7109375" style="2" customWidth="1"/>
    <col min="13574" max="13574" width="14.7109375" style="2" customWidth="1"/>
    <col min="13575" max="13575" width="4.85546875" style="2" bestFit="1" customWidth="1"/>
    <col min="13576" max="13576" width="7.7109375" style="2" customWidth="1"/>
    <col min="13577" max="13577" width="3.85546875" style="2" customWidth="1"/>
    <col min="13578" max="13578" width="11.42578125" style="2"/>
    <col min="13579" max="13579" width="13.42578125" style="2" bestFit="1" customWidth="1"/>
    <col min="13580" max="13580" width="7.7109375" style="2" customWidth="1"/>
    <col min="13581" max="13581" width="5.140625" style="2" customWidth="1"/>
    <col min="13582" max="13826" width="11.42578125" style="2"/>
    <col min="13827" max="13827" width="2.5703125" style="2" customWidth="1"/>
    <col min="13828" max="13828" width="13.42578125" style="2" bestFit="1" customWidth="1"/>
    <col min="13829" max="13829" width="6.7109375" style="2" customWidth="1"/>
    <col min="13830" max="13830" width="14.7109375" style="2" customWidth="1"/>
    <col min="13831" max="13831" width="4.85546875" style="2" bestFit="1" customWidth="1"/>
    <col min="13832" max="13832" width="7.7109375" style="2" customWidth="1"/>
    <col min="13833" max="13833" width="3.85546875" style="2" customWidth="1"/>
    <col min="13834" max="13834" width="11.42578125" style="2"/>
    <col min="13835" max="13835" width="13.42578125" style="2" bestFit="1" customWidth="1"/>
    <col min="13836" max="13836" width="7.7109375" style="2" customWidth="1"/>
    <col min="13837" max="13837" width="5.140625" style="2" customWidth="1"/>
    <col min="13838" max="14082" width="11.42578125" style="2"/>
    <col min="14083" max="14083" width="2.5703125" style="2" customWidth="1"/>
    <col min="14084" max="14084" width="13.42578125" style="2" bestFit="1" customWidth="1"/>
    <col min="14085" max="14085" width="6.7109375" style="2" customWidth="1"/>
    <col min="14086" max="14086" width="14.7109375" style="2" customWidth="1"/>
    <col min="14087" max="14087" width="4.85546875" style="2" bestFit="1" customWidth="1"/>
    <col min="14088" max="14088" width="7.7109375" style="2" customWidth="1"/>
    <col min="14089" max="14089" width="3.85546875" style="2" customWidth="1"/>
    <col min="14090" max="14090" width="11.42578125" style="2"/>
    <col min="14091" max="14091" width="13.42578125" style="2" bestFit="1" customWidth="1"/>
    <col min="14092" max="14092" width="7.7109375" style="2" customWidth="1"/>
    <col min="14093" max="14093" width="5.140625" style="2" customWidth="1"/>
    <col min="14094" max="14338" width="11.42578125" style="2"/>
    <col min="14339" max="14339" width="2.5703125" style="2" customWidth="1"/>
    <col min="14340" max="14340" width="13.42578125" style="2" bestFit="1" customWidth="1"/>
    <col min="14341" max="14341" width="6.7109375" style="2" customWidth="1"/>
    <col min="14342" max="14342" width="14.7109375" style="2" customWidth="1"/>
    <col min="14343" max="14343" width="4.85546875" style="2" bestFit="1" customWidth="1"/>
    <col min="14344" max="14344" width="7.7109375" style="2" customWidth="1"/>
    <col min="14345" max="14345" width="3.85546875" style="2" customWidth="1"/>
    <col min="14346" max="14346" width="11.42578125" style="2"/>
    <col min="14347" max="14347" width="13.42578125" style="2" bestFit="1" customWidth="1"/>
    <col min="14348" max="14348" width="7.7109375" style="2" customWidth="1"/>
    <col min="14349" max="14349" width="5.140625" style="2" customWidth="1"/>
    <col min="14350" max="14594" width="11.42578125" style="2"/>
    <col min="14595" max="14595" width="2.5703125" style="2" customWidth="1"/>
    <col min="14596" max="14596" width="13.42578125" style="2" bestFit="1" customWidth="1"/>
    <col min="14597" max="14597" width="6.7109375" style="2" customWidth="1"/>
    <col min="14598" max="14598" width="14.7109375" style="2" customWidth="1"/>
    <col min="14599" max="14599" width="4.85546875" style="2" bestFit="1" customWidth="1"/>
    <col min="14600" max="14600" width="7.7109375" style="2" customWidth="1"/>
    <col min="14601" max="14601" width="3.85546875" style="2" customWidth="1"/>
    <col min="14602" max="14602" width="11.42578125" style="2"/>
    <col min="14603" max="14603" width="13.42578125" style="2" bestFit="1" customWidth="1"/>
    <col min="14604" max="14604" width="7.7109375" style="2" customWidth="1"/>
    <col min="14605" max="14605" width="5.140625" style="2" customWidth="1"/>
    <col min="14606" max="14850" width="11.42578125" style="2"/>
    <col min="14851" max="14851" width="2.5703125" style="2" customWidth="1"/>
    <col min="14852" max="14852" width="13.42578125" style="2" bestFit="1" customWidth="1"/>
    <col min="14853" max="14853" width="6.7109375" style="2" customWidth="1"/>
    <col min="14854" max="14854" width="14.7109375" style="2" customWidth="1"/>
    <col min="14855" max="14855" width="4.85546875" style="2" bestFit="1" customWidth="1"/>
    <col min="14856" max="14856" width="7.7109375" style="2" customWidth="1"/>
    <col min="14857" max="14857" width="3.85546875" style="2" customWidth="1"/>
    <col min="14858" max="14858" width="11.42578125" style="2"/>
    <col min="14859" max="14859" width="13.42578125" style="2" bestFit="1" customWidth="1"/>
    <col min="14860" max="14860" width="7.7109375" style="2" customWidth="1"/>
    <col min="14861" max="14861" width="5.140625" style="2" customWidth="1"/>
    <col min="14862" max="15106" width="11.42578125" style="2"/>
    <col min="15107" max="15107" width="2.5703125" style="2" customWidth="1"/>
    <col min="15108" max="15108" width="13.42578125" style="2" bestFit="1" customWidth="1"/>
    <col min="15109" max="15109" width="6.7109375" style="2" customWidth="1"/>
    <col min="15110" max="15110" width="14.7109375" style="2" customWidth="1"/>
    <col min="15111" max="15111" width="4.85546875" style="2" bestFit="1" customWidth="1"/>
    <col min="15112" max="15112" width="7.7109375" style="2" customWidth="1"/>
    <col min="15113" max="15113" width="3.85546875" style="2" customWidth="1"/>
    <col min="15114" max="15114" width="11.42578125" style="2"/>
    <col min="15115" max="15115" width="13.42578125" style="2" bestFit="1" customWidth="1"/>
    <col min="15116" max="15116" width="7.7109375" style="2" customWidth="1"/>
    <col min="15117" max="15117" width="5.140625" style="2" customWidth="1"/>
    <col min="15118" max="15362" width="11.42578125" style="2"/>
    <col min="15363" max="15363" width="2.5703125" style="2" customWidth="1"/>
    <col min="15364" max="15364" width="13.42578125" style="2" bestFit="1" customWidth="1"/>
    <col min="15365" max="15365" width="6.7109375" style="2" customWidth="1"/>
    <col min="15366" max="15366" width="14.7109375" style="2" customWidth="1"/>
    <col min="15367" max="15367" width="4.85546875" style="2" bestFit="1" customWidth="1"/>
    <col min="15368" max="15368" width="7.7109375" style="2" customWidth="1"/>
    <col min="15369" max="15369" width="3.85546875" style="2" customWidth="1"/>
    <col min="15370" max="15370" width="11.42578125" style="2"/>
    <col min="15371" max="15371" width="13.42578125" style="2" bestFit="1" customWidth="1"/>
    <col min="15372" max="15372" width="7.7109375" style="2" customWidth="1"/>
    <col min="15373" max="15373" width="5.140625" style="2" customWidth="1"/>
    <col min="15374" max="15618" width="11.42578125" style="2"/>
    <col min="15619" max="15619" width="2.5703125" style="2" customWidth="1"/>
    <col min="15620" max="15620" width="13.42578125" style="2" bestFit="1" customWidth="1"/>
    <col min="15621" max="15621" width="6.7109375" style="2" customWidth="1"/>
    <col min="15622" max="15622" width="14.7109375" style="2" customWidth="1"/>
    <col min="15623" max="15623" width="4.85546875" style="2" bestFit="1" customWidth="1"/>
    <col min="15624" max="15624" width="7.7109375" style="2" customWidth="1"/>
    <col min="15625" max="15625" width="3.85546875" style="2" customWidth="1"/>
    <col min="15626" max="15626" width="11.42578125" style="2"/>
    <col min="15627" max="15627" width="13.42578125" style="2" bestFit="1" customWidth="1"/>
    <col min="15628" max="15628" width="7.7109375" style="2" customWidth="1"/>
    <col min="15629" max="15629" width="5.140625" style="2" customWidth="1"/>
    <col min="15630" max="15874" width="11.42578125" style="2"/>
    <col min="15875" max="15875" width="2.5703125" style="2" customWidth="1"/>
    <col min="15876" max="15876" width="13.42578125" style="2" bestFit="1" customWidth="1"/>
    <col min="15877" max="15877" width="6.7109375" style="2" customWidth="1"/>
    <col min="15878" max="15878" width="14.7109375" style="2" customWidth="1"/>
    <col min="15879" max="15879" width="4.85546875" style="2" bestFit="1" customWidth="1"/>
    <col min="15880" max="15880" width="7.7109375" style="2" customWidth="1"/>
    <col min="15881" max="15881" width="3.85546875" style="2" customWidth="1"/>
    <col min="15882" max="15882" width="11.42578125" style="2"/>
    <col min="15883" max="15883" width="13.42578125" style="2" bestFit="1" customWidth="1"/>
    <col min="15884" max="15884" width="7.7109375" style="2" customWidth="1"/>
    <col min="15885" max="15885" width="5.140625" style="2" customWidth="1"/>
    <col min="15886" max="16130" width="11.42578125" style="2"/>
    <col min="16131" max="16131" width="2.5703125" style="2" customWidth="1"/>
    <col min="16132" max="16132" width="13.42578125" style="2" bestFit="1" customWidth="1"/>
    <col min="16133" max="16133" width="6.7109375" style="2" customWidth="1"/>
    <col min="16134" max="16134" width="14.7109375" style="2" customWidth="1"/>
    <col min="16135" max="16135" width="4.85546875" style="2" bestFit="1" customWidth="1"/>
    <col min="16136" max="16136" width="7.7109375" style="2" customWidth="1"/>
    <col min="16137" max="16137" width="3.85546875" style="2" customWidth="1"/>
    <col min="16138" max="16138" width="11.42578125" style="2"/>
    <col min="16139" max="16139" width="13.42578125" style="2" bestFit="1" customWidth="1"/>
    <col min="16140" max="16140" width="7.7109375" style="2" customWidth="1"/>
    <col min="16141" max="16141" width="5.140625" style="2" customWidth="1"/>
    <col min="16142" max="16384" width="11.42578125" style="2"/>
  </cols>
  <sheetData>
    <row r="1" spans="3:16" ht="78" customHeight="1" thickBot="1" x14ac:dyDescent="0.3">
      <c r="C1" s="107"/>
      <c r="D1" s="86"/>
      <c r="E1" s="370" t="s">
        <v>203</v>
      </c>
      <c r="F1" s="371"/>
      <c r="G1" s="371"/>
      <c r="H1" s="371"/>
      <c r="I1" s="371"/>
      <c r="J1" s="371"/>
      <c r="K1" s="372"/>
      <c r="L1" s="373"/>
      <c r="M1" s="374"/>
    </row>
    <row r="2" spans="3:16" ht="78" hidden="1" customHeight="1" thickBot="1" x14ac:dyDescent="0.3">
      <c r="C2" s="1"/>
      <c r="D2" s="110"/>
      <c r="E2" s="80"/>
      <c r="F2" s="80"/>
      <c r="G2" s="80"/>
      <c r="H2" s="80"/>
      <c r="I2" s="80"/>
      <c r="J2" s="80"/>
      <c r="K2" s="81"/>
      <c r="L2" s="81"/>
      <c r="M2" s="79"/>
    </row>
    <row r="3" spans="3:16" ht="17.25" customHeight="1" thickBot="1" x14ac:dyDescent="0.35">
      <c r="C3" s="375" t="s">
        <v>0</v>
      </c>
      <c r="D3" s="244"/>
      <c r="E3" s="244"/>
      <c r="F3" s="244"/>
      <c r="G3" s="244"/>
      <c r="H3" s="244"/>
      <c r="I3" s="244"/>
      <c r="J3" s="244"/>
      <c r="K3" s="376"/>
      <c r="L3" s="111" t="s">
        <v>55</v>
      </c>
      <c r="M3" s="89">
        <v>85</v>
      </c>
      <c r="N3" s="77">
        <v>46</v>
      </c>
      <c r="O3" s="85" t="s">
        <v>113</v>
      </c>
      <c r="P3" s="86">
        <v>70</v>
      </c>
    </row>
    <row r="4" spans="3:16" ht="13.5" thickBot="1" x14ac:dyDescent="0.25">
      <c r="C4" s="426" t="s">
        <v>134</v>
      </c>
      <c r="D4" s="427"/>
      <c r="E4" s="428"/>
      <c r="F4" s="428"/>
      <c r="G4" s="428"/>
      <c r="H4" s="428"/>
      <c r="I4" s="428"/>
      <c r="J4" s="428"/>
      <c r="K4" s="428"/>
      <c r="L4" s="428"/>
      <c r="M4" s="429"/>
      <c r="N4" s="77">
        <v>48</v>
      </c>
      <c r="O4" s="84" t="s">
        <v>114</v>
      </c>
      <c r="P4" s="83">
        <v>74</v>
      </c>
    </row>
    <row r="5" spans="3:16" ht="12.75" customHeight="1" x14ac:dyDescent="0.2">
      <c r="C5" s="379" t="s">
        <v>56</v>
      </c>
      <c r="D5" s="274"/>
      <c r="E5" s="380"/>
      <c r="F5" s="282" t="s">
        <v>2</v>
      </c>
      <c r="G5" s="284"/>
      <c r="H5" s="430" t="s">
        <v>57</v>
      </c>
      <c r="I5" s="431"/>
      <c r="J5" s="431"/>
      <c r="K5" s="431"/>
      <c r="L5" s="431"/>
      <c r="M5" s="432"/>
      <c r="N5" s="77">
        <v>54</v>
      </c>
    </row>
    <row r="6" spans="3:16" x14ac:dyDescent="0.2">
      <c r="C6" s="379"/>
      <c r="D6" s="274"/>
      <c r="E6" s="380"/>
      <c r="F6" s="285"/>
      <c r="G6" s="287"/>
      <c r="H6" s="386"/>
      <c r="I6" s="387"/>
      <c r="J6" s="387"/>
      <c r="K6" s="387"/>
      <c r="L6" s="387"/>
      <c r="M6" s="388"/>
      <c r="N6" s="77">
        <v>55</v>
      </c>
    </row>
    <row r="7" spans="3:16" ht="15" customHeight="1" x14ac:dyDescent="0.2">
      <c r="C7" s="125" t="s">
        <v>3</v>
      </c>
      <c r="D7" s="262" t="str">
        <f>VLOOKUP(M3,[1]PMP_2025!$C$49:$R$150,4,FALSE)</f>
        <v>UPC 3er Piso</v>
      </c>
      <c r="E7" s="421"/>
      <c r="F7" s="421"/>
      <c r="G7" s="421"/>
      <c r="H7" s="421"/>
      <c r="I7" s="421"/>
      <c r="J7" s="422"/>
      <c r="K7" s="126" t="s">
        <v>6</v>
      </c>
      <c r="L7" s="279" t="str">
        <f>VLOOKUP(M3,[1]PMP_2025!$C$49:$R$150,2,FALSE)</f>
        <v>2-120768</v>
      </c>
      <c r="M7" s="280"/>
      <c r="N7" s="77">
        <v>56</v>
      </c>
    </row>
    <row r="8" spans="3:16" ht="15" customHeight="1" x14ac:dyDescent="0.2">
      <c r="C8" s="125" t="s">
        <v>58</v>
      </c>
      <c r="D8" s="262" t="str">
        <f>VLOOKUP(M3,[1]PMP_2025!$C$49:$R$150,3,FALSE)</f>
        <v>Desfibrilador</v>
      </c>
      <c r="E8" s="421"/>
      <c r="F8" s="421"/>
      <c r="G8" s="421"/>
      <c r="H8" s="421"/>
      <c r="I8" s="421"/>
      <c r="J8" s="422"/>
      <c r="K8" s="126" t="s">
        <v>59</v>
      </c>
      <c r="L8" s="352" t="str">
        <f>VLOOKUP(M3,[1]PMP_2025!$C$49:$R$150,10,FALSE)</f>
        <v>03249</v>
      </c>
      <c r="M8" s="420"/>
      <c r="N8" s="77">
        <v>57</v>
      </c>
    </row>
    <row r="9" spans="3:16" ht="15.75" customHeight="1" thickBot="1" x14ac:dyDescent="0.25">
      <c r="C9" s="127" t="s">
        <v>4</v>
      </c>
      <c r="D9" s="423" t="str">
        <f>VLOOKUP(M3,[1]PMP_2025!$C$49:$R$150,8,FALSE)</f>
        <v>Nihon Kohden</v>
      </c>
      <c r="E9" s="424"/>
      <c r="F9" s="425"/>
      <c r="G9" s="255" t="s">
        <v>5</v>
      </c>
      <c r="H9" s="255"/>
      <c r="I9" s="356" t="str">
        <f>VLOOKUP(M3,[1]PMP_2025!$C$49:$R$150,9,FALSE)</f>
        <v>TEC 5531E</v>
      </c>
      <c r="J9" s="356"/>
      <c r="K9" s="161" t="s">
        <v>60</v>
      </c>
      <c r="L9" s="416"/>
      <c r="M9" s="417"/>
      <c r="N9" s="77">
        <v>58</v>
      </c>
    </row>
    <row r="10" spans="3:16" ht="15.75" thickBot="1" x14ac:dyDescent="0.3">
      <c r="C10" s="418" t="s">
        <v>61</v>
      </c>
      <c r="D10" s="419"/>
      <c r="E10" s="244"/>
      <c r="F10" s="244"/>
      <c r="G10" s="244"/>
      <c r="H10" s="244"/>
      <c r="I10" s="244"/>
      <c r="J10" s="244"/>
      <c r="K10" s="244"/>
      <c r="L10" s="244"/>
      <c r="M10" s="245"/>
      <c r="N10" s="77">
        <v>59</v>
      </c>
    </row>
    <row r="11" spans="3:16" x14ac:dyDescent="0.2">
      <c r="C11" s="246" t="s">
        <v>10</v>
      </c>
      <c r="D11" s="247"/>
      <c r="E11" s="247"/>
      <c r="F11" s="248"/>
      <c r="G11" s="225" t="s">
        <v>11</v>
      </c>
      <c r="H11" s="225"/>
      <c r="I11" s="225"/>
      <c r="J11" s="258" t="s">
        <v>12</v>
      </c>
      <c r="K11" s="258"/>
      <c r="L11" s="258"/>
      <c r="M11" s="260"/>
      <c r="N11" s="77">
        <v>60</v>
      </c>
    </row>
    <row r="12" spans="3:16" x14ac:dyDescent="0.2">
      <c r="C12" s="413" t="s">
        <v>13</v>
      </c>
      <c r="D12" s="414"/>
      <c r="E12" s="415"/>
      <c r="F12" s="415"/>
      <c r="G12" s="10" t="s">
        <v>14</v>
      </c>
      <c r="H12" s="10" t="s">
        <v>15</v>
      </c>
      <c r="I12" s="10" t="s">
        <v>16</v>
      </c>
      <c r="J12" s="261"/>
      <c r="K12" s="261"/>
      <c r="L12" s="261"/>
      <c r="M12" s="263"/>
      <c r="N12" s="77">
        <v>61</v>
      </c>
    </row>
    <row r="13" spans="3:16" x14ac:dyDescent="0.2">
      <c r="C13" s="200" t="s">
        <v>121</v>
      </c>
      <c r="D13" s="216"/>
      <c r="E13" s="201"/>
      <c r="F13" s="201"/>
      <c r="G13" s="3"/>
      <c r="H13" s="10"/>
      <c r="I13" s="10"/>
      <c r="J13" s="188"/>
      <c r="K13" s="188"/>
      <c r="L13" s="188"/>
      <c r="M13" s="189"/>
      <c r="N13" s="77">
        <f>COUNTIF(N3:N12,M3)</f>
        <v>0</v>
      </c>
    </row>
    <row r="14" spans="3:16" x14ac:dyDescent="0.2">
      <c r="C14" s="200" t="s">
        <v>122</v>
      </c>
      <c r="D14" s="216"/>
      <c r="E14" s="201"/>
      <c r="F14" s="201"/>
      <c r="G14" s="3"/>
      <c r="H14" s="10"/>
      <c r="I14" s="10"/>
      <c r="J14" s="188"/>
      <c r="K14" s="188"/>
      <c r="L14" s="188"/>
      <c r="M14" s="189"/>
    </row>
    <row r="15" spans="3:16" x14ac:dyDescent="0.2">
      <c r="C15" s="200" t="s">
        <v>123</v>
      </c>
      <c r="D15" s="216"/>
      <c r="E15" s="201"/>
      <c r="F15" s="201"/>
      <c r="G15" s="3"/>
      <c r="H15" s="10"/>
      <c r="I15" s="10"/>
      <c r="J15" s="188"/>
      <c r="K15" s="188"/>
      <c r="L15" s="188"/>
      <c r="M15" s="189"/>
    </row>
    <row r="16" spans="3:16" x14ac:dyDescent="0.2">
      <c r="C16" s="200" t="s">
        <v>17</v>
      </c>
      <c r="D16" s="216"/>
      <c r="E16" s="201"/>
      <c r="F16" s="201"/>
      <c r="G16" s="3"/>
      <c r="H16" s="10"/>
      <c r="I16" s="10"/>
      <c r="J16" s="188"/>
      <c r="K16" s="188"/>
      <c r="L16" s="188"/>
      <c r="M16" s="189"/>
    </row>
    <row r="17" spans="3:17" ht="13.5" thickBot="1" x14ac:dyDescent="0.25">
      <c r="C17" s="200" t="s">
        <v>137</v>
      </c>
      <c r="D17" s="216"/>
      <c r="E17" s="201"/>
      <c r="F17" s="201"/>
      <c r="G17" s="3"/>
      <c r="H17" s="10"/>
      <c r="I17" s="10"/>
      <c r="J17" s="188"/>
      <c r="K17" s="188"/>
      <c r="L17" s="188"/>
      <c r="M17" s="189"/>
    </row>
    <row r="18" spans="3:17" x14ac:dyDescent="0.2">
      <c r="C18" s="411" t="s">
        <v>18</v>
      </c>
      <c r="D18" s="412"/>
      <c r="E18" s="241"/>
      <c r="F18" s="241"/>
      <c r="G18" s="11" t="s">
        <v>14</v>
      </c>
      <c r="H18" s="11" t="s">
        <v>15</v>
      </c>
      <c r="I18" s="11" t="s">
        <v>16</v>
      </c>
      <c r="J18" s="225"/>
      <c r="K18" s="225"/>
      <c r="L18" s="225"/>
      <c r="M18" s="249"/>
    </row>
    <row r="19" spans="3:17" x14ac:dyDescent="0.2">
      <c r="C19" s="200" t="s">
        <v>138</v>
      </c>
      <c r="D19" s="216"/>
      <c r="E19" s="201"/>
      <c r="F19" s="201"/>
      <c r="G19" s="3"/>
      <c r="H19" s="3"/>
      <c r="I19" s="10"/>
      <c r="J19" s="188"/>
      <c r="K19" s="188"/>
      <c r="L19" s="188"/>
      <c r="M19" s="189"/>
    </row>
    <row r="20" spans="3:17" x14ac:dyDescent="0.2">
      <c r="C20" s="200" t="s">
        <v>142</v>
      </c>
      <c r="D20" s="216"/>
      <c r="E20" s="201"/>
      <c r="F20" s="201"/>
      <c r="G20" s="3"/>
      <c r="H20" s="3"/>
      <c r="I20" s="10"/>
      <c r="J20" s="188"/>
      <c r="K20" s="188"/>
      <c r="L20" s="188"/>
      <c r="M20" s="189"/>
    </row>
    <row r="21" spans="3:17" x14ac:dyDescent="0.2">
      <c r="C21" s="200" t="s">
        <v>62</v>
      </c>
      <c r="D21" s="216"/>
      <c r="E21" s="201"/>
      <c r="F21" s="201"/>
      <c r="G21" s="3"/>
      <c r="H21" s="3"/>
      <c r="I21" s="10"/>
      <c r="J21" s="188"/>
      <c r="K21" s="188"/>
      <c r="L21" s="188"/>
      <c r="M21" s="189"/>
    </row>
    <row r="22" spans="3:17" x14ac:dyDescent="0.2">
      <c r="C22" s="200" t="s">
        <v>63</v>
      </c>
      <c r="D22" s="216"/>
      <c r="E22" s="201"/>
      <c r="F22" s="201"/>
      <c r="G22" s="3"/>
      <c r="H22" s="3"/>
      <c r="I22" s="10"/>
      <c r="J22" s="188"/>
      <c r="K22" s="188"/>
      <c r="L22" s="188"/>
      <c r="M22" s="189"/>
    </row>
    <row r="23" spans="3:17" x14ac:dyDescent="0.2">
      <c r="C23" s="200" t="s">
        <v>143</v>
      </c>
      <c r="D23" s="216"/>
      <c r="E23" s="201"/>
      <c r="F23" s="201"/>
      <c r="G23" s="3"/>
      <c r="H23" s="3"/>
      <c r="I23" s="10"/>
      <c r="J23" s="188"/>
      <c r="K23" s="188"/>
      <c r="L23" s="188"/>
      <c r="M23" s="189"/>
    </row>
    <row r="24" spans="3:17" ht="13.5" thickBot="1" x14ac:dyDescent="0.25">
      <c r="C24" s="300" t="s">
        <v>126</v>
      </c>
      <c r="D24" s="218"/>
      <c r="E24" s="242"/>
      <c r="F24" s="242"/>
      <c r="G24" s="4"/>
      <c r="H24" s="4"/>
      <c r="I24" s="106"/>
      <c r="J24" s="231"/>
      <c r="K24" s="231"/>
      <c r="L24" s="231"/>
      <c r="M24" s="233"/>
    </row>
    <row r="25" spans="3:17" ht="15" customHeight="1" x14ac:dyDescent="0.2">
      <c r="C25" s="404" t="s">
        <v>21</v>
      </c>
      <c r="D25" s="405"/>
      <c r="E25" s="405"/>
      <c r="F25" s="406"/>
      <c r="G25" s="11" t="s">
        <v>14</v>
      </c>
      <c r="H25" s="11" t="s">
        <v>15</v>
      </c>
      <c r="I25" s="11" t="s">
        <v>16</v>
      </c>
      <c r="J25" s="225"/>
      <c r="K25" s="225"/>
      <c r="L25" s="225"/>
      <c r="M25" s="249"/>
    </row>
    <row r="26" spans="3:17" x14ac:dyDescent="0.2">
      <c r="C26" s="190" t="s">
        <v>22</v>
      </c>
      <c r="D26" s="215"/>
      <c r="E26" s="215"/>
      <c r="F26" s="216"/>
      <c r="G26" s="3"/>
      <c r="H26" s="3"/>
      <c r="I26" s="10"/>
      <c r="J26" s="188"/>
      <c r="K26" s="188"/>
      <c r="L26" s="188"/>
      <c r="M26" s="189"/>
    </row>
    <row r="27" spans="3:17" x14ac:dyDescent="0.2">
      <c r="C27" s="190" t="s">
        <v>112</v>
      </c>
      <c r="D27" s="215"/>
      <c r="E27" s="215"/>
      <c r="F27" s="216"/>
      <c r="G27" s="3"/>
      <c r="H27" s="3"/>
      <c r="I27" s="10"/>
      <c r="J27" s="188"/>
      <c r="K27" s="188"/>
      <c r="L27" s="188"/>
      <c r="M27" s="189"/>
    </row>
    <row r="28" spans="3:17" x14ac:dyDescent="0.2">
      <c r="C28" s="190" t="s">
        <v>139</v>
      </c>
      <c r="D28" s="215"/>
      <c r="E28" s="215"/>
      <c r="F28" s="216"/>
      <c r="G28" s="3"/>
      <c r="H28" s="3"/>
      <c r="I28" s="10"/>
      <c r="J28" s="188"/>
      <c r="K28" s="188"/>
      <c r="L28" s="188"/>
      <c r="M28" s="189"/>
    </row>
    <row r="29" spans="3:17" ht="12.75" customHeight="1" x14ac:dyDescent="0.2">
      <c r="C29" s="190" t="s">
        <v>64</v>
      </c>
      <c r="D29" s="215"/>
      <c r="E29" s="215"/>
      <c r="F29" s="216"/>
      <c r="G29" s="3"/>
      <c r="H29" s="3"/>
      <c r="I29" s="10"/>
      <c r="J29" s="188"/>
      <c r="K29" s="188"/>
      <c r="L29" s="188"/>
      <c r="M29" s="189"/>
    </row>
    <row r="30" spans="3:17" ht="12.75" customHeight="1" x14ac:dyDescent="0.35">
      <c r="C30" s="407" t="s">
        <v>23</v>
      </c>
      <c r="D30" s="353"/>
      <c r="E30" s="353"/>
      <c r="F30" s="354"/>
      <c r="G30" s="3"/>
      <c r="H30" s="3"/>
      <c r="I30" s="10"/>
      <c r="J30" s="188"/>
      <c r="K30" s="188"/>
      <c r="L30" s="188"/>
      <c r="M30" s="189"/>
      <c r="Q30" s="22"/>
    </row>
    <row r="31" spans="3:17" ht="15.75" customHeight="1" thickBot="1" x14ac:dyDescent="0.25">
      <c r="C31" s="230" t="s">
        <v>163</v>
      </c>
      <c r="D31" s="217"/>
      <c r="E31" s="217"/>
      <c r="F31" s="218"/>
      <c r="G31" s="4"/>
      <c r="H31" s="4"/>
      <c r="I31" s="106"/>
      <c r="J31" s="231"/>
      <c r="K31" s="231"/>
      <c r="L31" s="231"/>
      <c r="M31" s="233"/>
    </row>
    <row r="32" spans="3:17" ht="15" customHeight="1" x14ac:dyDescent="0.2">
      <c r="C32" s="185" t="s">
        <v>25</v>
      </c>
      <c r="D32" s="403"/>
      <c r="E32" s="186"/>
      <c r="F32" s="186"/>
      <c r="G32" s="187"/>
      <c r="H32" s="248" t="s">
        <v>26</v>
      </c>
      <c r="I32" s="253"/>
      <c r="J32" s="253"/>
      <c r="K32" s="253"/>
      <c r="L32" s="253"/>
      <c r="M32" s="321"/>
    </row>
    <row r="33" spans="3:13" x14ac:dyDescent="0.2">
      <c r="C33" s="408" t="s">
        <v>27</v>
      </c>
      <c r="D33" s="409"/>
      <c r="E33" s="265"/>
      <c r="F33" s="188" t="s">
        <v>198</v>
      </c>
      <c r="G33" s="398"/>
      <c r="H33" s="308" t="s">
        <v>29</v>
      </c>
      <c r="I33" s="323"/>
      <c r="J33" s="323"/>
      <c r="K33" s="324"/>
      <c r="L33" s="229" t="s">
        <v>65</v>
      </c>
      <c r="M33" s="410"/>
    </row>
    <row r="34" spans="3:13" x14ac:dyDescent="0.2">
      <c r="C34" s="200" t="s">
        <v>129</v>
      </c>
      <c r="D34" s="216"/>
      <c r="E34" s="201"/>
      <c r="F34" s="265" t="s">
        <v>66</v>
      </c>
      <c r="G34" s="398"/>
      <c r="H34" s="216" t="s">
        <v>140</v>
      </c>
      <c r="I34" s="201"/>
      <c r="J34" s="201"/>
      <c r="K34" s="201"/>
      <c r="L34" s="265" t="s">
        <v>66</v>
      </c>
      <c r="M34" s="398"/>
    </row>
    <row r="35" spans="3:13" ht="12.75" customHeight="1" x14ac:dyDescent="0.2">
      <c r="C35" s="200" t="s">
        <v>130</v>
      </c>
      <c r="D35" s="216"/>
      <c r="E35" s="201"/>
      <c r="F35" s="265" t="s">
        <v>66</v>
      </c>
      <c r="G35" s="398"/>
      <c r="H35" s="216" t="s">
        <v>30</v>
      </c>
      <c r="I35" s="201"/>
      <c r="J35" s="201"/>
      <c r="K35" s="201"/>
      <c r="L35" s="265" t="s">
        <v>66</v>
      </c>
      <c r="M35" s="398"/>
    </row>
    <row r="36" spans="3:13" ht="15" customHeight="1" thickBot="1" x14ac:dyDescent="0.25">
      <c r="C36" s="300" t="s">
        <v>243</v>
      </c>
      <c r="D36" s="218"/>
      <c r="E36" s="242"/>
      <c r="F36" s="401" t="s">
        <v>66</v>
      </c>
      <c r="G36" s="402"/>
      <c r="H36" s="218" t="s">
        <v>31</v>
      </c>
      <c r="I36" s="203"/>
      <c r="J36" s="203"/>
      <c r="K36" s="203"/>
      <c r="L36" s="205" t="s">
        <v>66</v>
      </c>
      <c r="M36" s="207"/>
    </row>
    <row r="37" spans="3:13" ht="15" customHeight="1" thickBot="1" x14ac:dyDescent="0.3">
      <c r="C37" s="399" t="s">
        <v>34</v>
      </c>
      <c r="D37" s="400"/>
      <c r="E37" s="238"/>
      <c r="F37" s="238"/>
      <c r="G37" s="238"/>
      <c r="H37" s="239"/>
      <c r="I37" s="399" t="s">
        <v>43</v>
      </c>
      <c r="J37" s="238"/>
      <c r="K37" s="238"/>
      <c r="L37" s="238"/>
      <c r="M37" s="240"/>
    </row>
    <row r="38" spans="3:13" x14ac:dyDescent="0.2">
      <c r="C38" s="222" t="s">
        <v>36</v>
      </c>
      <c r="D38" s="223"/>
      <c r="E38" s="223"/>
      <c r="F38" s="224"/>
      <c r="G38" s="225" t="s">
        <v>37</v>
      </c>
      <c r="H38" s="226"/>
      <c r="I38" s="396"/>
      <c r="J38" s="269"/>
      <c r="K38" s="397"/>
      <c r="L38" s="23" t="s">
        <v>38</v>
      </c>
      <c r="M38" s="24" t="s">
        <v>39</v>
      </c>
    </row>
    <row r="39" spans="3:13" ht="15" customHeight="1" x14ac:dyDescent="0.2">
      <c r="C39" s="200" t="s">
        <v>115</v>
      </c>
      <c r="D39" s="216"/>
      <c r="E39" s="201"/>
      <c r="F39" s="201"/>
      <c r="G39" s="188"/>
      <c r="H39" s="229"/>
      <c r="I39" s="391" t="s">
        <v>40</v>
      </c>
      <c r="J39" s="210"/>
      <c r="K39" s="211"/>
      <c r="L39" s="204"/>
      <c r="M39" s="394"/>
    </row>
    <row r="40" spans="3:13" ht="15.75" customHeight="1" thickBot="1" x14ac:dyDescent="0.25">
      <c r="C40" s="202" t="s">
        <v>52</v>
      </c>
      <c r="D40" s="389"/>
      <c r="E40" s="203"/>
      <c r="F40" s="203"/>
      <c r="G40" s="204"/>
      <c r="H40" s="390"/>
      <c r="I40" s="392"/>
      <c r="J40" s="213"/>
      <c r="K40" s="214"/>
      <c r="L40" s="393"/>
      <c r="M40" s="395"/>
    </row>
    <row r="41" spans="3:13" ht="15" customHeight="1" x14ac:dyDescent="0.2">
      <c r="C41" s="191" t="s">
        <v>54</v>
      </c>
      <c r="D41" s="192"/>
      <c r="E41" s="294"/>
      <c r="F41" s="192" t="s">
        <v>199</v>
      </c>
      <c r="G41" s="192"/>
      <c r="H41" s="192"/>
      <c r="I41" s="192"/>
      <c r="J41" s="294"/>
      <c r="K41" s="298" t="s">
        <v>93</v>
      </c>
      <c r="L41" s="195"/>
      <c r="M41" s="196"/>
    </row>
    <row r="42" spans="3:13" ht="15" customHeight="1" x14ac:dyDescent="0.2">
      <c r="C42" s="194"/>
      <c r="D42" s="195"/>
      <c r="E42" s="295"/>
      <c r="F42" s="195"/>
      <c r="G42" s="195"/>
      <c r="H42" s="195"/>
      <c r="I42" s="195"/>
      <c r="J42" s="295"/>
      <c r="K42" s="298"/>
      <c r="L42" s="195"/>
      <c r="M42" s="196"/>
    </row>
    <row r="43" spans="3:13" ht="15" customHeight="1" x14ac:dyDescent="0.2">
      <c r="C43" s="194"/>
      <c r="D43" s="195"/>
      <c r="E43" s="295"/>
      <c r="F43" s="195"/>
      <c r="G43" s="195"/>
      <c r="H43" s="195"/>
      <c r="I43" s="195"/>
      <c r="J43" s="295"/>
      <c r="K43" s="298"/>
      <c r="L43" s="195"/>
      <c r="M43" s="196"/>
    </row>
    <row r="44" spans="3:13" ht="49.5" customHeight="1" thickBot="1" x14ac:dyDescent="0.25">
      <c r="C44" s="197"/>
      <c r="D44" s="198"/>
      <c r="E44" s="296"/>
      <c r="F44" s="198"/>
      <c r="G44" s="198"/>
      <c r="H44" s="198"/>
      <c r="I44" s="198"/>
      <c r="J44" s="296"/>
      <c r="K44" s="299"/>
      <c r="L44" s="198"/>
      <c r="M44" s="199"/>
    </row>
  </sheetData>
  <mergeCells count="91">
    <mergeCell ref="L1:M1"/>
    <mergeCell ref="E1:K1"/>
    <mergeCell ref="C3:K3"/>
    <mergeCell ref="C4:M4"/>
    <mergeCell ref="C5:E6"/>
    <mergeCell ref="F5:G6"/>
    <mergeCell ref="H5:M6"/>
    <mergeCell ref="G9:H9"/>
    <mergeCell ref="I9:J9"/>
    <mergeCell ref="L9:M9"/>
    <mergeCell ref="C10:M10"/>
    <mergeCell ref="L7:M7"/>
    <mergeCell ref="L8:M8"/>
    <mergeCell ref="D7:J7"/>
    <mergeCell ref="D8:J8"/>
    <mergeCell ref="D9:F9"/>
    <mergeCell ref="C11:F11"/>
    <mergeCell ref="G11:I11"/>
    <mergeCell ref="J11:M12"/>
    <mergeCell ref="C12:F12"/>
    <mergeCell ref="C14:F14"/>
    <mergeCell ref="J14:M14"/>
    <mergeCell ref="C13:F13"/>
    <mergeCell ref="J13:M13"/>
    <mergeCell ref="C15:F15"/>
    <mergeCell ref="J15:M15"/>
    <mergeCell ref="C16:F16"/>
    <mergeCell ref="J16:M16"/>
    <mergeCell ref="C17:F17"/>
    <mergeCell ref="J17:M17"/>
    <mergeCell ref="C18:F18"/>
    <mergeCell ref="J18:M18"/>
    <mergeCell ref="C19:F19"/>
    <mergeCell ref="J19:M19"/>
    <mergeCell ref="C20:F20"/>
    <mergeCell ref="J20:M20"/>
    <mergeCell ref="C21:F21"/>
    <mergeCell ref="J21:M21"/>
    <mergeCell ref="C22:F22"/>
    <mergeCell ref="J22:M22"/>
    <mergeCell ref="C23:F23"/>
    <mergeCell ref="J23:M23"/>
    <mergeCell ref="J27:M27"/>
    <mergeCell ref="C26:F26"/>
    <mergeCell ref="C27:F27"/>
    <mergeCell ref="J31:M31"/>
    <mergeCell ref="C24:F24"/>
    <mergeCell ref="J24:M24"/>
    <mergeCell ref="J25:M25"/>
    <mergeCell ref="J28:M28"/>
    <mergeCell ref="J29:M29"/>
    <mergeCell ref="J30:M30"/>
    <mergeCell ref="C32:G32"/>
    <mergeCell ref="H32:M32"/>
    <mergeCell ref="C25:F25"/>
    <mergeCell ref="C34:E34"/>
    <mergeCell ref="F34:G34"/>
    <mergeCell ref="H34:K34"/>
    <mergeCell ref="L34:M34"/>
    <mergeCell ref="C31:F31"/>
    <mergeCell ref="C28:F28"/>
    <mergeCell ref="C29:F29"/>
    <mergeCell ref="C30:F30"/>
    <mergeCell ref="C33:E33"/>
    <mergeCell ref="F33:G33"/>
    <mergeCell ref="H33:K33"/>
    <mergeCell ref="L33:M33"/>
    <mergeCell ref="J26:M26"/>
    <mergeCell ref="G38:H38"/>
    <mergeCell ref="I38:K38"/>
    <mergeCell ref="C35:E35"/>
    <mergeCell ref="F35:G35"/>
    <mergeCell ref="H35:K35"/>
    <mergeCell ref="C37:H37"/>
    <mergeCell ref="I37:M37"/>
    <mergeCell ref="C38:F38"/>
    <mergeCell ref="L35:M35"/>
    <mergeCell ref="C36:E36"/>
    <mergeCell ref="F36:G36"/>
    <mergeCell ref="H36:K36"/>
    <mergeCell ref="L36:M36"/>
    <mergeCell ref="K41:M44"/>
    <mergeCell ref="C39:F39"/>
    <mergeCell ref="G39:H39"/>
    <mergeCell ref="C40:F40"/>
    <mergeCell ref="G40:H40"/>
    <mergeCell ref="I39:K40"/>
    <mergeCell ref="L39:L40"/>
    <mergeCell ref="M39:M40"/>
    <mergeCell ref="F41:J44"/>
    <mergeCell ref="C41:E44"/>
  </mergeCells>
  <conditionalFormatting sqref="I9:J9 L7:M8 D7:D9">
    <cfRule type="cellIs" dxfId="5" priority="1" operator="equal">
      <formula>0</formula>
    </cfRule>
  </conditionalFormatting>
  <dataValidations count="2">
    <dataValidation allowBlank="1" showInputMessage="1" showErrorMessage="1" error="Número no corresponde a DESFIBRILADOR" sqref="M3" xr:uid="{00000000-0002-0000-0400-000000000000}"/>
    <dataValidation type="custom" allowBlank="1" showInputMessage="1" showErrorMessage="1" error="El N° no corresponde a un DESFIBRILADOR" sqref="P3:P4" xr:uid="{00000000-0002-0000-0400-000001000000}">
      <formula1>COUNTIF(N3:N12,P3)=0</formula1>
    </dataValidation>
  </dataValidations>
  <printOptions horizontalCentered="1"/>
  <pageMargins left="0.25" right="0.25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IMPRIMIRCOPIAS">
          <controlPr defaultSize="0" autoLine="0" r:id="rId5">
            <anchor moveWithCells="1">
              <from>
                <xdr:col>14</xdr:col>
                <xdr:colOff>228600</xdr:colOff>
                <xdr:row>4</xdr:row>
                <xdr:rowOff>133350</xdr:rowOff>
              </from>
              <to>
                <xdr:col>16</xdr:col>
                <xdr:colOff>19050</xdr:colOff>
                <xdr:row>6</xdr:row>
                <xdr:rowOff>95250</xdr:rowOff>
              </to>
            </anchor>
          </controlPr>
        </control>
      </mc:Choice>
      <mc:Fallback>
        <control shapeId="6147" r:id="rId4" name="IMPRIMIRCOPIA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rgb="FF00B050"/>
    <pageSetUpPr fitToPage="1"/>
  </sheetPr>
  <dimension ref="B1:S49"/>
  <sheetViews>
    <sheetView zoomScale="115" zoomScaleNormal="115" workbookViewId="0">
      <selection activeCell="U7" sqref="U7"/>
    </sheetView>
  </sheetViews>
  <sheetFormatPr baseColWidth="10" defaultRowHeight="12.75" x14ac:dyDescent="0.2"/>
  <cols>
    <col min="1" max="1" width="2.5703125" style="2" customWidth="1"/>
    <col min="2" max="2" width="13.7109375" style="2" customWidth="1"/>
    <col min="3" max="3" width="5.28515625" style="2" bestFit="1" customWidth="1"/>
    <col min="4" max="19" width="5.7109375" style="2" customWidth="1"/>
    <col min="20" max="256" width="11.42578125" style="2"/>
    <col min="257" max="257" width="2.5703125" style="2" customWidth="1"/>
    <col min="258" max="258" width="13.7109375" style="2" customWidth="1"/>
    <col min="259" max="259" width="5.28515625" style="2" bestFit="1" customWidth="1"/>
    <col min="260" max="275" width="5.7109375" style="2" customWidth="1"/>
    <col min="276" max="512" width="11.42578125" style="2"/>
    <col min="513" max="513" width="2.5703125" style="2" customWidth="1"/>
    <col min="514" max="514" width="13.7109375" style="2" customWidth="1"/>
    <col min="515" max="515" width="5.28515625" style="2" bestFit="1" customWidth="1"/>
    <col min="516" max="531" width="5.7109375" style="2" customWidth="1"/>
    <col min="532" max="768" width="11.42578125" style="2"/>
    <col min="769" max="769" width="2.5703125" style="2" customWidth="1"/>
    <col min="770" max="770" width="13.7109375" style="2" customWidth="1"/>
    <col min="771" max="771" width="5.28515625" style="2" bestFit="1" customWidth="1"/>
    <col min="772" max="787" width="5.7109375" style="2" customWidth="1"/>
    <col min="788" max="1024" width="11.42578125" style="2"/>
    <col min="1025" max="1025" width="2.5703125" style="2" customWidth="1"/>
    <col min="1026" max="1026" width="13.7109375" style="2" customWidth="1"/>
    <col min="1027" max="1027" width="5.28515625" style="2" bestFit="1" customWidth="1"/>
    <col min="1028" max="1043" width="5.7109375" style="2" customWidth="1"/>
    <col min="1044" max="1280" width="11.42578125" style="2"/>
    <col min="1281" max="1281" width="2.5703125" style="2" customWidth="1"/>
    <col min="1282" max="1282" width="13.7109375" style="2" customWidth="1"/>
    <col min="1283" max="1283" width="5.28515625" style="2" bestFit="1" customWidth="1"/>
    <col min="1284" max="1299" width="5.7109375" style="2" customWidth="1"/>
    <col min="1300" max="1536" width="11.42578125" style="2"/>
    <col min="1537" max="1537" width="2.5703125" style="2" customWidth="1"/>
    <col min="1538" max="1538" width="13.7109375" style="2" customWidth="1"/>
    <col min="1539" max="1539" width="5.28515625" style="2" bestFit="1" customWidth="1"/>
    <col min="1540" max="1555" width="5.7109375" style="2" customWidth="1"/>
    <col min="1556" max="1792" width="11.42578125" style="2"/>
    <col min="1793" max="1793" width="2.5703125" style="2" customWidth="1"/>
    <col min="1794" max="1794" width="13.7109375" style="2" customWidth="1"/>
    <col min="1795" max="1795" width="5.28515625" style="2" bestFit="1" customWidth="1"/>
    <col min="1796" max="1811" width="5.7109375" style="2" customWidth="1"/>
    <col min="1812" max="2048" width="11.42578125" style="2"/>
    <col min="2049" max="2049" width="2.5703125" style="2" customWidth="1"/>
    <col min="2050" max="2050" width="13.7109375" style="2" customWidth="1"/>
    <col min="2051" max="2051" width="5.28515625" style="2" bestFit="1" customWidth="1"/>
    <col min="2052" max="2067" width="5.7109375" style="2" customWidth="1"/>
    <col min="2068" max="2304" width="11.42578125" style="2"/>
    <col min="2305" max="2305" width="2.5703125" style="2" customWidth="1"/>
    <col min="2306" max="2306" width="13.7109375" style="2" customWidth="1"/>
    <col min="2307" max="2307" width="5.28515625" style="2" bestFit="1" customWidth="1"/>
    <col min="2308" max="2323" width="5.7109375" style="2" customWidth="1"/>
    <col min="2324" max="2560" width="11.42578125" style="2"/>
    <col min="2561" max="2561" width="2.5703125" style="2" customWidth="1"/>
    <col min="2562" max="2562" width="13.7109375" style="2" customWidth="1"/>
    <col min="2563" max="2563" width="5.28515625" style="2" bestFit="1" customWidth="1"/>
    <col min="2564" max="2579" width="5.7109375" style="2" customWidth="1"/>
    <col min="2580" max="2816" width="11.42578125" style="2"/>
    <col min="2817" max="2817" width="2.5703125" style="2" customWidth="1"/>
    <col min="2818" max="2818" width="13.7109375" style="2" customWidth="1"/>
    <col min="2819" max="2819" width="5.28515625" style="2" bestFit="1" customWidth="1"/>
    <col min="2820" max="2835" width="5.7109375" style="2" customWidth="1"/>
    <col min="2836" max="3072" width="11.42578125" style="2"/>
    <col min="3073" max="3073" width="2.5703125" style="2" customWidth="1"/>
    <col min="3074" max="3074" width="13.7109375" style="2" customWidth="1"/>
    <col min="3075" max="3075" width="5.28515625" style="2" bestFit="1" customWidth="1"/>
    <col min="3076" max="3091" width="5.7109375" style="2" customWidth="1"/>
    <col min="3092" max="3328" width="11.42578125" style="2"/>
    <col min="3329" max="3329" width="2.5703125" style="2" customWidth="1"/>
    <col min="3330" max="3330" width="13.7109375" style="2" customWidth="1"/>
    <col min="3331" max="3331" width="5.28515625" style="2" bestFit="1" customWidth="1"/>
    <col min="3332" max="3347" width="5.7109375" style="2" customWidth="1"/>
    <col min="3348" max="3584" width="11.42578125" style="2"/>
    <col min="3585" max="3585" width="2.5703125" style="2" customWidth="1"/>
    <col min="3586" max="3586" width="13.7109375" style="2" customWidth="1"/>
    <col min="3587" max="3587" width="5.28515625" style="2" bestFit="1" customWidth="1"/>
    <col min="3588" max="3603" width="5.7109375" style="2" customWidth="1"/>
    <col min="3604" max="3840" width="11.42578125" style="2"/>
    <col min="3841" max="3841" width="2.5703125" style="2" customWidth="1"/>
    <col min="3842" max="3842" width="13.7109375" style="2" customWidth="1"/>
    <col min="3843" max="3843" width="5.28515625" style="2" bestFit="1" customWidth="1"/>
    <col min="3844" max="3859" width="5.7109375" style="2" customWidth="1"/>
    <col min="3860" max="4096" width="11.42578125" style="2"/>
    <col min="4097" max="4097" width="2.5703125" style="2" customWidth="1"/>
    <col min="4098" max="4098" width="13.7109375" style="2" customWidth="1"/>
    <col min="4099" max="4099" width="5.28515625" style="2" bestFit="1" customWidth="1"/>
    <col min="4100" max="4115" width="5.7109375" style="2" customWidth="1"/>
    <col min="4116" max="4352" width="11.42578125" style="2"/>
    <col min="4353" max="4353" width="2.5703125" style="2" customWidth="1"/>
    <col min="4354" max="4354" width="13.7109375" style="2" customWidth="1"/>
    <col min="4355" max="4355" width="5.28515625" style="2" bestFit="1" customWidth="1"/>
    <col min="4356" max="4371" width="5.7109375" style="2" customWidth="1"/>
    <col min="4372" max="4608" width="11.42578125" style="2"/>
    <col min="4609" max="4609" width="2.5703125" style="2" customWidth="1"/>
    <col min="4610" max="4610" width="13.7109375" style="2" customWidth="1"/>
    <col min="4611" max="4611" width="5.28515625" style="2" bestFit="1" customWidth="1"/>
    <col min="4612" max="4627" width="5.7109375" style="2" customWidth="1"/>
    <col min="4628" max="4864" width="11.42578125" style="2"/>
    <col min="4865" max="4865" width="2.5703125" style="2" customWidth="1"/>
    <col min="4866" max="4866" width="13.7109375" style="2" customWidth="1"/>
    <col min="4867" max="4867" width="5.28515625" style="2" bestFit="1" customWidth="1"/>
    <col min="4868" max="4883" width="5.7109375" style="2" customWidth="1"/>
    <col min="4884" max="5120" width="11.42578125" style="2"/>
    <col min="5121" max="5121" width="2.5703125" style="2" customWidth="1"/>
    <col min="5122" max="5122" width="13.7109375" style="2" customWidth="1"/>
    <col min="5123" max="5123" width="5.28515625" style="2" bestFit="1" customWidth="1"/>
    <col min="5124" max="5139" width="5.7109375" style="2" customWidth="1"/>
    <col min="5140" max="5376" width="11.42578125" style="2"/>
    <col min="5377" max="5377" width="2.5703125" style="2" customWidth="1"/>
    <col min="5378" max="5378" width="13.7109375" style="2" customWidth="1"/>
    <col min="5379" max="5379" width="5.28515625" style="2" bestFit="1" customWidth="1"/>
    <col min="5380" max="5395" width="5.7109375" style="2" customWidth="1"/>
    <col min="5396" max="5632" width="11.42578125" style="2"/>
    <col min="5633" max="5633" width="2.5703125" style="2" customWidth="1"/>
    <col min="5634" max="5634" width="13.7109375" style="2" customWidth="1"/>
    <col min="5635" max="5635" width="5.28515625" style="2" bestFit="1" customWidth="1"/>
    <col min="5636" max="5651" width="5.7109375" style="2" customWidth="1"/>
    <col min="5652" max="5888" width="11.42578125" style="2"/>
    <col min="5889" max="5889" width="2.5703125" style="2" customWidth="1"/>
    <col min="5890" max="5890" width="13.7109375" style="2" customWidth="1"/>
    <col min="5891" max="5891" width="5.28515625" style="2" bestFit="1" customWidth="1"/>
    <col min="5892" max="5907" width="5.7109375" style="2" customWidth="1"/>
    <col min="5908" max="6144" width="11.42578125" style="2"/>
    <col min="6145" max="6145" width="2.5703125" style="2" customWidth="1"/>
    <col min="6146" max="6146" width="13.7109375" style="2" customWidth="1"/>
    <col min="6147" max="6147" width="5.28515625" style="2" bestFit="1" customWidth="1"/>
    <col min="6148" max="6163" width="5.7109375" style="2" customWidth="1"/>
    <col min="6164" max="6400" width="11.42578125" style="2"/>
    <col min="6401" max="6401" width="2.5703125" style="2" customWidth="1"/>
    <col min="6402" max="6402" width="13.7109375" style="2" customWidth="1"/>
    <col min="6403" max="6403" width="5.28515625" style="2" bestFit="1" customWidth="1"/>
    <col min="6404" max="6419" width="5.7109375" style="2" customWidth="1"/>
    <col min="6420" max="6656" width="11.42578125" style="2"/>
    <col min="6657" max="6657" width="2.5703125" style="2" customWidth="1"/>
    <col min="6658" max="6658" width="13.7109375" style="2" customWidth="1"/>
    <col min="6659" max="6659" width="5.28515625" style="2" bestFit="1" customWidth="1"/>
    <col min="6660" max="6675" width="5.7109375" style="2" customWidth="1"/>
    <col min="6676" max="6912" width="11.42578125" style="2"/>
    <col min="6913" max="6913" width="2.5703125" style="2" customWidth="1"/>
    <col min="6914" max="6914" width="13.7109375" style="2" customWidth="1"/>
    <col min="6915" max="6915" width="5.28515625" style="2" bestFit="1" customWidth="1"/>
    <col min="6916" max="6931" width="5.7109375" style="2" customWidth="1"/>
    <col min="6932" max="7168" width="11.42578125" style="2"/>
    <col min="7169" max="7169" width="2.5703125" style="2" customWidth="1"/>
    <col min="7170" max="7170" width="13.7109375" style="2" customWidth="1"/>
    <col min="7171" max="7171" width="5.28515625" style="2" bestFit="1" customWidth="1"/>
    <col min="7172" max="7187" width="5.7109375" style="2" customWidth="1"/>
    <col min="7188" max="7424" width="11.42578125" style="2"/>
    <col min="7425" max="7425" width="2.5703125" style="2" customWidth="1"/>
    <col min="7426" max="7426" width="13.7109375" style="2" customWidth="1"/>
    <col min="7427" max="7427" width="5.28515625" style="2" bestFit="1" customWidth="1"/>
    <col min="7428" max="7443" width="5.7109375" style="2" customWidth="1"/>
    <col min="7444" max="7680" width="11.42578125" style="2"/>
    <col min="7681" max="7681" width="2.5703125" style="2" customWidth="1"/>
    <col min="7682" max="7682" width="13.7109375" style="2" customWidth="1"/>
    <col min="7683" max="7683" width="5.28515625" style="2" bestFit="1" customWidth="1"/>
    <col min="7684" max="7699" width="5.7109375" style="2" customWidth="1"/>
    <col min="7700" max="7936" width="11.42578125" style="2"/>
    <col min="7937" max="7937" width="2.5703125" style="2" customWidth="1"/>
    <col min="7938" max="7938" width="13.7109375" style="2" customWidth="1"/>
    <col min="7939" max="7939" width="5.28515625" style="2" bestFit="1" customWidth="1"/>
    <col min="7940" max="7955" width="5.7109375" style="2" customWidth="1"/>
    <col min="7956" max="8192" width="11.42578125" style="2"/>
    <col min="8193" max="8193" width="2.5703125" style="2" customWidth="1"/>
    <col min="8194" max="8194" width="13.7109375" style="2" customWidth="1"/>
    <col min="8195" max="8195" width="5.28515625" style="2" bestFit="1" customWidth="1"/>
    <col min="8196" max="8211" width="5.7109375" style="2" customWidth="1"/>
    <col min="8212" max="8448" width="11.42578125" style="2"/>
    <col min="8449" max="8449" width="2.5703125" style="2" customWidth="1"/>
    <col min="8450" max="8450" width="13.7109375" style="2" customWidth="1"/>
    <col min="8451" max="8451" width="5.28515625" style="2" bestFit="1" customWidth="1"/>
    <col min="8452" max="8467" width="5.7109375" style="2" customWidth="1"/>
    <col min="8468" max="8704" width="11.42578125" style="2"/>
    <col min="8705" max="8705" width="2.5703125" style="2" customWidth="1"/>
    <col min="8706" max="8706" width="13.7109375" style="2" customWidth="1"/>
    <col min="8707" max="8707" width="5.28515625" style="2" bestFit="1" customWidth="1"/>
    <col min="8708" max="8723" width="5.7109375" style="2" customWidth="1"/>
    <col min="8724" max="8960" width="11.42578125" style="2"/>
    <col min="8961" max="8961" width="2.5703125" style="2" customWidth="1"/>
    <col min="8962" max="8962" width="13.7109375" style="2" customWidth="1"/>
    <col min="8963" max="8963" width="5.28515625" style="2" bestFit="1" customWidth="1"/>
    <col min="8964" max="8979" width="5.7109375" style="2" customWidth="1"/>
    <col min="8980" max="9216" width="11.42578125" style="2"/>
    <col min="9217" max="9217" width="2.5703125" style="2" customWidth="1"/>
    <col min="9218" max="9218" width="13.7109375" style="2" customWidth="1"/>
    <col min="9219" max="9219" width="5.28515625" style="2" bestFit="1" customWidth="1"/>
    <col min="9220" max="9235" width="5.7109375" style="2" customWidth="1"/>
    <col min="9236" max="9472" width="11.42578125" style="2"/>
    <col min="9473" max="9473" width="2.5703125" style="2" customWidth="1"/>
    <col min="9474" max="9474" width="13.7109375" style="2" customWidth="1"/>
    <col min="9475" max="9475" width="5.28515625" style="2" bestFit="1" customWidth="1"/>
    <col min="9476" max="9491" width="5.7109375" style="2" customWidth="1"/>
    <col min="9492" max="9728" width="11.42578125" style="2"/>
    <col min="9729" max="9729" width="2.5703125" style="2" customWidth="1"/>
    <col min="9730" max="9730" width="13.7109375" style="2" customWidth="1"/>
    <col min="9731" max="9731" width="5.28515625" style="2" bestFit="1" customWidth="1"/>
    <col min="9732" max="9747" width="5.7109375" style="2" customWidth="1"/>
    <col min="9748" max="9984" width="11.42578125" style="2"/>
    <col min="9985" max="9985" width="2.5703125" style="2" customWidth="1"/>
    <col min="9986" max="9986" width="13.7109375" style="2" customWidth="1"/>
    <col min="9987" max="9987" width="5.28515625" style="2" bestFit="1" customWidth="1"/>
    <col min="9988" max="10003" width="5.7109375" style="2" customWidth="1"/>
    <col min="10004" max="10240" width="11.42578125" style="2"/>
    <col min="10241" max="10241" width="2.5703125" style="2" customWidth="1"/>
    <col min="10242" max="10242" width="13.7109375" style="2" customWidth="1"/>
    <col min="10243" max="10243" width="5.28515625" style="2" bestFit="1" customWidth="1"/>
    <col min="10244" max="10259" width="5.7109375" style="2" customWidth="1"/>
    <col min="10260" max="10496" width="11.42578125" style="2"/>
    <col min="10497" max="10497" width="2.5703125" style="2" customWidth="1"/>
    <col min="10498" max="10498" width="13.7109375" style="2" customWidth="1"/>
    <col min="10499" max="10499" width="5.28515625" style="2" bestFit="1" customWidth="1"/>
    <col min="10500" max="10515" width="5.7109375" style="2" customWidth="1"/>
    <col min="10516" max="10752" width="11.42578125" style="2"/>
    <col min="10753" max="10753" width="2.5703125" style="2" customWidth="1"/>
    <col min="10754" max="10754" width="13.7109375" style="2" customWidth="1"/>
    <col min="10755" max="10755" width="5.28515625" style="2" bestFit="1" customWidth="1"/>
    <col min="10756" max="10771" width="5.7109375" style="2" customWidth="1"/>
    <col min="10772" max="11008" width="11.42578125" style="2"/>
    <col min="11009" max="11009" width="2.5703125" style="2" customWidth="1"/>
    <col min="11010" max="11010" width="13.7109375" style="2" customWidth="1"/>
    <col min="11011" max="11011" width="5.28515625" style="2" bestFit="1" customWidth="1"/>
    <col min="11012" max="11027" width="5.7109375" style="2" customWidth="1"/>
    <col min="11028" max="11264" width="11.42578125" style="2"/>
    <col min="11265" max="11265" width="2.5703125" style="2" customWidth="1"/>
    <col min="11266" max="11266" width="13.7109375" style="2" customWidth="1"/>
    <col min="11267" max="11267" width="5.28515625" style="2" bestFit="1" customWidth="1"/>
    <col min="11268" max="11283" width="5.7109375" style="2" customWidth="1"/>
    <col min="11284" max="11520" width="11.42578125" style="2"/>
    <col min="11521" max="11521" width="2.5703125" style="2" customWidth="1"/>
    <col min="11522" max="11522" width="13.7109375" style="2" customWidth="1"/>
    <col min="11523" max="11523" width="5.28515625" style="2" bestFit="1" customWidth="1"/>
    <col min="11524" max="11539" width="5.7109375" style="2" customWidth="1"/>
    <col min="11540" max="11776" width="11.42578125" style="2"/>
    <col min="11777" max="11777" width="2.5703125" style="2" customWidth="1"/>
    <col min="11778" max="11778" width="13.7109375" style="2" customWidth="1"/>
    <col min="11779" max="11779" width="5.28515625" style="2" bestFit="1" customWidth="1"/>
    <col min="11780" max="11795" width="5.7109375" style="2" customWidth="1"/>
    <col min="11796" max="12032" width="11.42578125" style="2"/>
    <col min="12033" max="12033" width="2.5703125" style="2" customWidth="1"/>
    <col min="12034" max="12034" width="13.7109375" style="2" customWidth="1"/>
    <col min="12035" max="12035" width="5.28515625" style="2" bestFit="1" customWidth="1"/>
    <col min="12036" max="12051" width="5.7109375" style="2" customWidth="1"/>
    <col min="12052" max="12288" width="11.42578125" style="2"/>
    <col min="12289" max="12289" width="2.5703125" style="2" customWidth="1"/>
    <col min="12290" max="12290" width="13.7109375" style="2" customWidth="1"/>
    <col min="12291" max="12291" width="5.28515625" style="2" bestFit="1" customWidth="1"/>
    <col min="12292" max="12307" width="5.7109375" style="2" customWidth="1"/>
    <col min="12308" max="12544" width="11.42578125" style="2"/>
    <col min="12545" max="12545" width="2.5703125" style="2" customWidth="1"/>
    <col min="12546" max="12546" width="13.7109375" style="2" customWidth="1"/>
    <col min="12547" max="12547" width="5.28515625" style="2" bestFit="1" customWidth="1"/>
    <col min="12548" max="12563" width="5.7109375" style="2" customWidth="1"/>
    <col min="12564" max="12800" width="11.42578125" style="2"/>
    <col min="12801" max="12801" width="2.5703125" style="2" customWidth="1"/>
    <col min="12802" max="12802" width="13.7109375" style="2" customWidth="1"/>
    <col min="12803" max="12803" width="5.28515625" style="2" bestFit="1" customWidth="1"/>
    <col min="12804" max="12819" width="5.7109375" style="2" customWidth="1"/>
    <col min="12820" max="13056" width="11.42578125" style="2"/>
    <col min="13057" max="13057" width="2.5703125" style="2" customWidth="1"/>
    <col min="13058" max="13058" width="13.7109375" style="2" customWidth="1"/>
    <col min="13059" max="13059" width="5.28515625" style="2" bestFit="1" customWidth="1"/>
    <col min="13060" max="13075" width="5.7109375" style="2" customWidth="1"/>
    <col min="13076" max="13312" width="11.42578125" style="2"/>
    <col min="13313" max="13313" width="2.5703125" style="2" customWidth="1"/>
    <col min="13314" max="13314" width="13.7109375" style="2" customWidth="1"/>
    <col min="13315" max="13315" width="5.28515625" style="2" bestFit="1" customWidth="1"/>
    <col min="13316" max="13331" width="5.7109375" style="2" customWidth="1"/>
    <col min="13332" max="13568" width="11.42578125" style="2"/>
    <col min="13569" max="13569" width="2.5703125" style="2" customWidth="1"/>
    <col min="13570" max="13570" width="13.7109375" style="2" customWidth="1"/>
    <col min="13571" max="13571" width="5.28515625" style="2" bestFit="1" customWidth="1"/>
    <col min="13572" max="13587" width="5.7109375" style="2" customWidth="1"/>
    <col min="13588" max="13824" width="11.42578125" style="2"/>
    <col min="13825" max="13825" width="2.5703125" style="2" customWidth="1"/>
    <col min="13826" max="13826" width="13.7109375" style="2" customWidth="1"/>
    <col min="13827" max="13827" width="5.28515625" style="2" bestFit="1" customWidth="1"/>
    <col min="13828" max="13843" width="5.7109375" style="2" customWidth="1"/>
    <col min="13844" max="14080" width="11.42578125" style="2"/>
    <col min="14081" max="14081" width="2.5703125" style="2" customWidth="1"/>
    <col min="14082" max="14082" width="13.7109375" style="2" customWidth="1"/>
    <col min="14083" max="14083" width="5.28515625" style="2" bestFit="1" customWidth="1"/>
    <col min="14084" max="14099" width="5.7109375" style="2" customWidth="1"/>
    <col min="14100" max="14336" width="11.42578125" style="2"/>
    <col min="14337" max="14337" width="2.5703125" style="2" customWidth="1"/>
    <col min="14338" max="14338" width="13.7109375" style="2" customWidth="1"/>
    <col min="14339" max="14339" width="5.28515625" style="2" bestFit="1" customWidth="1"/>
    <col min="14340" max="14355" width="5.7109375" style="2" customWidth="1"/>
    <col min="14356" max="14592" width="11.42578125" style="2"/>
    <col min="14593" max="14593" width="2.5703125" style="2" customWidth="1"/>
    <col min="14594" max="14594" width="13.7109375" style="2" customWidth="1"/>
    <col min="14595" max="14595" width="5.28515625" style="2" bestFit="1" customWidth="1"/>
    <col min="14596" max="14611" width="5.7109375" style="2" customWidth="1"/>
    <col min="14612" max="14848" width="11.42578125" style="2"/>
    <col min="14849" max="14849" width="2.5703125" style="2" customWidth="1"/>
    <col min="14850" max="14850" width="13.7109375" style="2" customWidth="1"/>
    <col min="14851" max="14851" width="5.28515625" style="2" bestFit="1" customWidth="1"/>
    <col min="14852" max="14867" width="5.7109375" style="2" customWidth="1"/>
    <col min="14868" max="15104" width="11.42578125" style="2"/>
    <col min="15105" max="15105" width="2.5703125" style="2" customWidth="1"/>
    <col min="15106" max="15106" width="13.7109375" style="2" customWidth="1"/>
    <col min="15107" max="15107" width="5.28515625" style="2" bestFit="1" customWidth="1"/>
    <col min="15108" max="15123" width="5.7109375" style="2" customWidth="1"/>
    <col min="15124" max="15360" width="11.42578125" style="2"/>
    <col min="15361" max="15361" width="2.5703125" style="2" customWidth="1"/>
    <col min="15362" max="15362" width="13.7109375" style="2" customWidth="1"/>
    <col min="15363" max="15363" width="5.28515625" style="2" bestFit="1" customWidth="1"/>
    <col min="15364" max="15379" width="5.7109375" style="2" customWidth="1"/>
    <col min="15380" max="15616" width="11.42578125" style="2"/>
    <col min="15617" max="15617" width="2.5703125" style="2" customWidth="1"/>
    <col min="15618" max="15618" width="13.7109375" style="2" customWidth="1"/>
    <col min="15619" max="15619" width="5.28515625" style="2" bestFit="1" customWidth="1"/>
    <col min="15620" max="15635" width="5.7109375" style="2" customWidth="1"/>
    <col min="15636" max="15872" width="11.42578125" style="2"/>
    <col min="15873" max="15873" width="2.5703125" style="2" customWidth="1"/>
    <col min="15874" max="15874" width="13.7109375" style="2" customWidth="1"/>
    <col min="15875" max="15875" width="5.28515625" style="2" bestFit="1" customWidth="1"/>
    <col min="15876" max="15891" width="5.7109375" style="2" customWidth="1"/>
    <col min="15892" max="16128" width="11.42578125" style="2"/>
    <col min="16129" max="16129" width="2.5703125" style="2" customWidth="1"/>
    <col min="16130" max="16130" width="13.7109375" style="2" customWidth="1"/>
    <col min="16131" max="16131" width="5.28515625" style="2" bestFit="1" customWidth="1"/>
    <col min="16132" max="16147" width="5.7109375" style="2" customWidth="1"/>
    <col min="16148" max="16384" width="11.42578125" style="2"/>
  </cols>
  <sheetData>
    <row r="1" spans="2:19" ht="78" customHeight="1" thickBot="1" x14ac:dyDescent="0.3">
      <c r="B1" s="452"/>
      <c r="C1" s="373"/>
      <c r="D1" s="453" t="s">
        <v>239</v>
      </c>
      <c r="E1" s="454"/>
      <c r="F1" s="454"/>
      <c r="G1" s="454"/>
      <c r="H1" s="454"/>
      <c r="I1" s="454"/>
      <c r="J1" s="454"/>
      <c r="K1" s="454"/>
      <c r="L1" s="454"/>
      <c r="M1" s="454"/>
      <c r="N1" s="455"/>
      <c r="O1" s="370"/>
      <c r="P1" s="371"/>
      <c r="Q1" s="371"/>
      <c r="R1" s="371"/>
      <c r="S1" s="372"/>
    </row>
    <row r="2" spans="2:19" ht="15.75" customHeight="1" thickBot="1" x14ac:dyDescent="0.25">
      <c r="B2" s="375" t="s">
        <v>72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5"/>
    </row>
    <row r="3" spans="2:19" ht="15.75" customHeight="1" thickBot="1" x14ac:dyDescent="0.25">
      <c r="B3" s="375" t="s">
        <v>136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5"/>
    </row>
    <row r="4" spans="2:19" ht="15" customHeight="1" x14ac:dyDescent="0.2">
      <c r="B4" s="26" t="s">
        <v>58</v>
      </c>
      <c r="C4" s="247" t="s">
        <v>96</v>
      </c>
      <c r="D4" s="247"/>
      <c r="E4" s="247"/>
      <c r="F4" s="247"/>
      <c r="G4" s="247"/>
      <c r="H4" s="247"/>
      <c r="I4" s="247"/>
      <c r="J4" s="247"/>
      <c r="K4" s="247"/>
      <c r="L4" s="449"/>
      <c r="M4" s="450" t="s">
        <v>5</v>
      </c>
      <c r="N4" s="451"/>
      <c r="O4" s="247" t="s">
        <v>97</v>
      </c>
      <c r="P4" s="247"/>
      <c r="Q4" s="247"/>
      <c r="R4" s="247"/>
      <c r="S4" s="449"/>
    </row>
    <row r="5" spans="2:19" ht="15.75" customHeight="1" thickBot="1" x14ac:dyDescent="0.25">
      <c r="B5" s="27" t="s">
        <v>4</v>
      </c>
      <c r="C5" s="438" t="s">
        <v>219</v>
      </c>
      <c r="D5" s="439"/>
      <c r="E5" s="439"/>
      <c r="F5" s="439"/>
      <c r="G5" s="439"/>
      <c r="H5" s="439"/>
      <c r="I5" s="439"/>
      <c r="J5" s="439"/>
      <c r="K5" s="439"/>
      <c r="L5" s="440"/>
      <c r="M5" s="441" t="s">
        <v>73</v>
      </c>
      <c r="N5" s="442"/>
      <c r="O5" s="443"/>
      <c r="P5" s="443"/>
      <c r="Q5" s="443"/>
      <c r="R5" s="443"/>
      <c r="S5" s="444"/>
    </row>
    <row r="6" spans="2:19" ht="15" customHeight="1" thickBot="1" x14ac:dyDescent="0.25">
      <c r="B6" s="337"/>
      <c r="C6" s="338"/>
      <c r="D6" s="436" t="s">
        <v>74</v>
      </c>
      <c r="E6" s="437"/>
      <c r="F6" s="436" t="s">
        <v>74</v>
      </c>
      <c r="G6" s="437"/>
      <c r="H6" s="436" t="s">
        <v>74</v>
      </c>
      <c r="I6" s="437"/>
      <c r="J6" s="436" t="s">
        <v>74</v>
      </c>
      <c r="K6" s="437"/>
      <c r="L6" s="436" t="s">
        <v>74</v>
      </c>
      <c r="M6" s="437"/>
      <c r="N6" s="436" t="s">
        <v>74</v>
      </c>
      <c r="O6" s="437"/>
      <c r="P6" s="436" t="s">
        <v>74</v>
      </c>
      <c r="Q6" s="437"/>
      <c r="R6" s="436" t="s">
        <v>74</v>
      </c>
      <c r="S6" s="437"/>
    </row>
    <row r="7" spans="2:19" ht="15" customHeight="1" thickBot="1" x14ac:dyDescent="0.3">
      <c r="B7" s="445"/>
      <c r="C7" s="446"/>
      <c r="D7" s="418">
        <v>122002994</v>
      </c>
      <c r="E7" s="435"/>
      <c r="F7" s="418">
        <v>122003001</v>
      </c>
      <c r="G7" s="435"/>
      <c r="H7" s="418">
        <v>122002995</v>
      </c>
      <c r="I7" s="435"/>
      <c r="J7" s="418">
        <v>122003000</v>
      </c>
      <c r="K7" s="435"/>
      <c r="L7" s="418">
        <v>122002981</v>
      </c>
      <c r="M7" s="435"/>
      <c r="N7" s="418">
        <v>122002983</v>
      </c>
      <c r="O7" s="435"/>
      <c r="P7" s="418">
        <v>122002988</v>
      </c>
      <c r="Q7" s="435"/>
      <c r="R7" s="418">
        <v>122002985</v>
      </c>
      <c r="S7" s="435"/>
    </row>
    <row r="8" spans="2:19" ht="15" customHeight="1" thickBot="1" x14ac:dyDescent="0.3">
      <c r="B8" s="445"/>
      <c r="C8" s="446"/>
      <c r="D8" s="436" t="s">
        <v>75</v>
      </c>
      <c r="E8" s="437"/>
      <c r="F8" s="418" t="s">
        <v>76</v>
      </c>
      <c r="G8" s="435"/>
      <c r="H8" s="418" t="s">
        <v>76</v>
      </c>
      <c r="I8" s="435"/>
      <c r="J8" s="418" t="s">
        <v>76</v>
      </c>
      <c r="K8" s="435"/>
      <c r="L8" s="418" t="s">
        <v>76</v>
      </c>
      <c r="M8" s="435"/>
      <c r="N8" s="418" t="s">
        <v>76</v>
      </c>
      <c r="O8" s="435"/>
      <c r="P8" s="418" t="s">
        <v>76</v>
      </c>
      <c r="Q8" s="435"/>
      <c r="R8" s="418" t="s">
        <v>76</v>
      </c>
      <c r="S8" s="435"/>
    </row>
    <row r="9" spans="2:19" ht="15" customHeight="1" thickBot="1" x14ac:dyDescent="0.3">
      <c r="B9" s="445"/>
      <c r="C9" s="446"/>
      <c r="D9" s="418" t="s">
        <v>98</v>
      </c>
      <c r="E9" s="435"/>
      <c r="F9" s="418" t="s">
        <v>99</v>
      </c>
      <c r="G9" s="435"/>
      <c r="H9" s="418" t="s">
        <v>100</v>
      </c>
      <c r="I9" s="435"/>
      <c r="J9" s="418" t="s">
        <v>101</v>
      </c>
      <c r="K9" s="435"/>
      <c r="L9" s="418" t="s">
        <v>102</v>
      </c>
      <c r="M9" s="435"/>
      <c r="N9" s="418" t="s">
        <v>103</v>
      </c>
      <c r="O9" s="435"/>
      <c r="P9" s="418" t="s">
        <v>104</v>
      </c>
      <c r="Q9" s="435"/>
      <c r="R9" s="418" t="s">
        <v>105</v>
      </c>
      <c r="S9" s="435"/>
    </row>
    <row r="10" spans="2:19" ht="15" customHeight="1" thickBot="1" x14ac:dyDescent="0.3">
      <c r="B10" s="445"/>
      <c r="C10" s="446"/>
      <c r="D10" s="436" t="s">
        <v>69</v>
      </c>
      <c r="E10" s="437"/>
      <c r="F10" s="418" t="s">
        <v>69</v>
      </c>
      <c r="G10" s="435"/>
      <c r="H10" s="418" t="s">
        <v>69</v>
      </c>
      <c r="I10" s="435"/>
      <c r="J10" s="418" t="s">
        <v>69</v>
      </c>
      <c r="K10" s="435"/>
      <c r="L10" s="418" t="s">
        <v>69</v>
      </c>
      <c r="M10" s="435"/>
      <c r="N10" s="418" t="s">
        <v>69</v>
      </c>
      <c r="O10" s="435"/>
      <c r="P10" s="418" t="s">
        <v>69</v>
      </c>
      <c r="Q10" s="435"/>
      <c r="R10" s="418" t="s">
        <v>69</v>
      </c>
      <c r="S10" s="435"/>
    </row>
    <row r="11" spans="2:19" ht="15" customHeight="1" thickBot="1" x14ac:dyDescent="0.3">
      <c r="B11" s="447"/>
      <c r="C11" s="448"/>
      <c r="D11" s="418" t="s">
        <v>94</v>
      </c>
      <c r="E11" s="435"/>
      <c r="F11" s="418" t="s">
        <v>106</v>
      </c>
      <c r="G11" s="435"/>
      <c r="H11" s="418" t="s">
        <v>107</v>
      </c>
      <c r="I11" s="435"/>
      <c r="J11" s="418" t="s">
        <v>108</v>
      </c>
      <c r="K11" s="435"/>
      <c r="L11" s="418" t="s">
        <v>133</v>
      </c>
      <c r="M11" s="435"/>
      <c r="N11" s="418" t="s">
        <v>109</v>
      </c>
      <c r="O11" s="435"/>
      <c r="P11" s="418" t="s">
        <v>110</v>
      </c>
      <c r="Q11" s="435"/>
      <c r="R11" s="418" t="s">
        <v>111</v>
      </c>
      <c r="S11" s="435"/>
    </row>
    <row r="12" spans="2:19" ht="15" customHeight="1" thickBot="1" x14ac:dyDescent="0.25">
      <c r="B12" s="28" t="s">
        <v>77</v>
      </c>
      <c r="C12" s="29" t="s">
        <v>78</v>
      </c>
      <c r="D12" s="12" t="s">
        <v>14</v>
      </c>
      <c r="E12" s="30" t="s">
        <v>15</v>
      </c>
      <c r="F12" s="31" t="s">
        <v>79</v>
      </c>
      <c r="G12" s="32" t="s">
        <v>15</v>
      </c>
      <c r="H12" s="33" t="s">
        <v>14</v>
      </c>
      <c r="I12" s="34" t="s">
        <v>15</v>
      </c>
      <c r="J12" s="35" t="s">
        <v>14</v>
      </c>
      <c r="K12" s="36" t="s">
        <v>15</v>
      </c>
      <c r="L12" s="33" t="s">
        <v>14</v>
      </c>
      <c r="M12" s="34" t="s">
        <v>15</v>
      </c>
      <c r="N12" s="33" t="s">
        <v>14</v>
      </c>
      <c r="O12" s="34" t="s">
        <v>15</v>
      </c>
      <c r="P12" s="33" t="s">
        <v>14</v>
      </c>
      <c r="Q12" s="34" t="s">
        <v>15</v>
      </c>
      <c r="R12" s="33" t="s">
        <v>14</v>
      </c>
      <c r="S12" s="34" t="s">
        <v>15</v>
      </c>
    </row>
    <row r="13" spans="2:19" ht="17.25" customHeight="1" x14ac:dyDescent="0.2">
      <c r="B13" s="433" t="s">
        <v>204</v>
      </c>
      <c r="C13" s="37">
        <v>1</v>
      </c>
      <c r="D13" s="14"/>
      <c r="E13" s="38"/>
      <c r="F13" s="39"/>
      <c r="G13" s="40"/>
      <c r="H13" s="41"/>
      <c r="I13" s="42"/>
      <c r="J13" s="41"/>
      <c r="K13" s="40"/>
      <c r="L13" s="43"/>
      <c r="M13" s="44"/>
      <c r="N13" s="41"/>
      <c r="O13" s="44"/>
      <c r="P13" s="41"/>
      <c r="Q13" s="44"/>
      <c r="R13" s="41"/>
      <c r="S13" s="44"/>
    </row>
    <row r="14" spans="2:19" ht="17.25" customHeight="1" x14ac:dyDescent="0.2">
      <c r="B14" s="434"/>
      <c r="C14" s="45">
        <v>2</v>
      </c>
      <c r="D14" s="5"/>
      <c r="E14" s="15"/>
      <c r="F14" s="46"/>
      <c r="G14" s="15"/>
      <c r="H14" s="18"/>
      <c r="I14" s="47"/>
      <c r="J14" s="18"/>
      <c r="K14" s="15"/>
      <c r="L14" s="16"/>
      <c r="M14" s="48"/>
      <c r="N14" s="18"/>
      <c r="O14" s="48"/>
      <c r="P14" s="18"/>
      <c r="Q14" s="48"/>
      <c r="R14" s="18"/>
      <c r="S14" s="48"/>
    </row>
    <row r="15" spans="2:19" ht="17.25" customHeight="1" x14ac:dyDescent="0.2">
      <c r="B15" s="434"/>
      <c r="C15" s="45">
        <v>3</v>
      </c>
      <c r="D15" s="5"/>
      <c r="E15" s="15"/>
      <c r="F15" s="46"/>
      <c r="G15" s="15"/>
      <c r="H15" s="18"/>
      <c r="I15" s="47"/>
      <c r="J15" s="18"/>
      <c r="K15" s="15"/>
      <c r="L15" s="16"/>
      <c r="M15" s="48"/>
      <c r="N15" s="18"/>
      <c r="O15" s="48"/>
      <c r="P15" s="18"/>
      <c r="Q15" s="48"/>
      <c r="R15" s="18"/>
      <c r="S15" s="48"/>
    </row>
    <row r="16" spans="2:19" ht="17.25" customHeight="1" x14ac:dyDescent="0.2">
      <c r="B16" s="434"/>
      <c r="C16" s="45">
        <v>4</v>
      </c>
      <c r="D16" s="5"/>
      <c r="E16" s="15"/>
      <c r="F16" s="46"/>
      <c r="G16" s="15"/>
      <c r="H16" s="18"/>
      <c r="I16" s="47"/>
      <c r="J16" s="18"/>
      <c r="K16" s="15"/>
      <c r="L16" s="16"/>
      <c r="M16" s="48"/>
      <c r="N16" s="18"/>
      <c r="O16" s="48"/>
      <c r="P16" s="18"/>
      <c r="Q16" s="48"/>
      <c r="R16" s="18"/>
      <c r="S16" s="48"/>
    </row>
    <row r="17" spans="2:19" ht="17.25" customHeight="1" x14ac:dyDescent="0.2">
      <c r="B17" s="434"/>
      <c r="C17" s="45">
        <v>5</v>
      </c>
      <c r="D17" s="5"/>
      <c r="E17" s="15"/>
      <c r="F17" s="46"/>
      <c r="G17" s="15"/>
      <c r="H17" s="18"/>
      <c r="I17" s="47"/>
      <c r="J17" s="18"/>
      <c r="K17" s="15"/>
      <c r="L17" s="16"/>
      <c r="M17" s="48"/>
      <c r="N17" s="18"/>
      <c r="O17" s="48"/>
      <c r="P17" s="18"/>
      <c r="Q17" s="48"/>
      <c r="R17" s="18"/>
      <c r="S17" s="48"/>
    </row>
    <row r="18" spans="2:19" ht="17.25" customHeight="1" x14ac:dyDescent="0.2">
      <c r="B18" s="434"/>
      <c r="C18" s="45">
        <v>6</v>
      </c>
      <c r="D18" s="5"/>
      <c r="E18" s="15"/>
      <c r="F18" s="46"/>
      <c r="G18" s="15"/>
      <c r="H18" s="18"/>
      <c r="I18" s="47"/>
      <c r="J18" s="18"/>
      <c r="K18" s="15"/>
      <c r="L18" s="16"/>
      <c r="M18" s="48"/>
      <c r="N18" s="18"/>
      <c r="O18" s="48"/>
      <c r="P18" s="18"/>
      <c r="Q18" s="48"/>
      <c r="R18" s="18"/>
      <c r="S18" s="48"/>
    </row>
    <row r="19" spans="2:19" ht="17.25" customHeight="1" x14ac:dyDescent="0.2">
      <c r="B19" s="434"/>
      <c r="C19" s="45">
        <v>7</v>
      </c>
      <c r="D19" s="5"/>
      <c r="E19" s="15"/>
      <c r="F19" s="46"/>
      <c r="G19" s="15"/>
      <c r="H19" s="18"/>
      <c r="I19" s="47"/>
      <c r="J19" s="18"/>
      <c r="K19" s="15"/>
      <c r="L19" s="16"/>
      <c r="M19" s="48"/>
      <c r="N19" s="18"/>
      <c r="O19" s="48"/>
      <c r="P19" s="18"/>
      <c r="Q19" s="48"/>
      <c r="R19" s="18"/>
      <c r="S19" s="48"/>
    </row>
    <row r="20" spans="2:19" ht="17.25" customHeight="1" x14ac:dyDescent="0.2">
      <c r="B20" s="434"/>
      <c r="C20" s="45">
        <v>8</v>
      </c>
      <c r="D20" s="5"/>
      <c r="E20" s="15"/>
      <c r="F20" s="46"/>
      <c r="G20" s="15"/>
      <c r="H20" s="18"/>
      <c r="I20" s="47"/>
      <c r="J20" s="18"/>
      <c r="K20" s="15"/>
      <c r="L20" s="16"/>
      <c r="M20" s="48"/>
      <c r="N20" s="18"/>
      <c r="O20" s="48"/>
      <c r="P20" s="18"/>
      <c r="Q20" s="48"/>
      <c r="R20" s="18"/>
      <c r="S20" s="48"/>
    </row>
    <row r="21" spans="2:19" ht="17.25" customHeight="1" x14ac:dyDescent="0.2">
      <c r="B21" s="434"/>
      <c r="C21" s="45">
        <v>9</v>
      </c>
      <c r="D21" s="5"/>
      <c r="E21" s="15"/>
      <c r="F21" s="46"/>
      <c r="G21" s="15"/>
      <c r="H21" s="18"/>
      <c r="I21" s="47"/>
      <c r="J21" s="18"/>
      <c r="K21" s="15"/>
      <c r="L21" s="16"/>
      <c r="M21" s="48"/>
      <c r="N21" s="18"/>
      <c r="O21" s="48"/>
      <c r="P21" s="18"/>
      <c r="Q21" s="48"/>
      <c r="R21" s="18"/>
      <c r="S21" s="48"/>
    </row>
    <row r="22" spans="2:19" ht="17.25" customHeight="1" x14ac:dyDescent="0.2">
      <c r="B22" s="434"/>
      <c r="C22" s="45">
        <v>10</v>
      </c>
      <c r="D22" s="5"/>
      <c r="E22" s="15"/>
      <c r="F22" s="46"/>
      <c r="G22" s="15"/>
      <c r="H22" s="18"/>
      <c r="I22" s="47"/>
      <c r="J22" s="18"/>
      <c r="K22" s="15"/>
      <c r="L22" s="16"/>
      <c r="M22" s="48"/>
      <c r="N22" s="18"/>
      <c r="O22" s="48"/>
      <c r="P22" s="18"/>
      <c r="Q22" s="48"/>
      <c r="R22" s="18"/>
      <c r="S22" s="48"/>
    </row>
    <row r="23" spans="2:19" ht="17.25" customHeight="1" x14ac:dyDescent="0.2">
      <c r="B23" s="434"/>
      <c r="C23" s="45">
        <v>11</v>
      </c>
      <c r="D23" s="5"/>
      <c r="E23" s="15"/>
      <c r="F23" s="46"/>
      <c r="G23" s="15"/>
      <c r="H23" s="18"/>
      <c r="I23" s="47"/>
      <c r="J23" s="18"/>
      <c r="K23" s="15"/>
      <c r="L23" s="16"/>
      <c r="M23" s="48"/>
      <c r="N23" s="18"/>
      <c r="O23" s="48"/>
      <c r="P23" s="18"/>
      <c r="Q23" s="48"/>
      <c r="R23" s="18"/>
      <c r="S23" s="48"/>
    </row>
    <row r="24" spans="2:19" ht="17.25" customHeight="1" x14ac:dyDescent="0.2">
      <c r="B24" s="434"/>
      <c r="C24" s="45">
        <v>12</v>
      </c>
      <c r="D24" s="5"/>
      <c r="E24" s="15"/>
      <c r="F24" s="46"/>
      <c r="G24" s="15"/>
      <c r="H24" s="18"/>
      <c r="I24" s="47"/>
      <c r="J24" s="18"/>
      <c r="K24" s="15"/>
      <c r="L24" s="16"/>
      <c r="M24" s="48"/>
      <c r="N24" s="18"/>
      <c r="O24" s="48"/>
      <c r="P24" s="18"/>
      <c r="Q24" s="48"/>
      <c r="R24" s="18"/>
      <c r="S24" s="48"/>
    </row>
    <row r="25" spans="2:19" ht="17.25" customHeight="1" x14ac:dyDescent="0.2">
      <c r="B25" s="434"/>
      <c r="C25" s="45">
        <v>13</v>
      </c>
      <c r="D25" s="5"/>
      <c r="E25" s="15"/>
      <c r="F25" s="46"/>
      <c r="G25" s="15"/>
      <c r="H25" s="18"/>
      <c r="I25" s="47"/>
      <c r="J25" s="18"/>
      <c r="K25" s="15"/>
      <c r="L25" s="16"/>
      <c r="M25" s="48"/>
      <c r="N25" s="18"/>
      <c r="O25" s="48"/>
      <c r="P25" s="18"/>
      <c r="Q25" s="48"/>
      <c r="R25" s="18"/>
      <c r="S25" s="48"/>
    </row>
    <row r="26" spans="2:19" ht="17.25" customHeight="1" x14ac:dyDescent="0.2">
      <c r="B26" s="434"/>
      <c r="C26" s="45">
        <v>14</v>
      </c>
      <c r="D26" s="5"/>
      <c r="E26" s="15"/>
      <c r="F26" s="46"/>
      <c r="G26" s="15"/>
      <c r="H26" s="18"/>
      <c r="I26" s="47"/>
      <c r="J26" s="18"/>
      <c r="K26" s="15"/>
      <c r="L26" s="16"/>
      <c r="M26" s="48"/>
      <c r="N26" s="18"/>
      <c r="O26" s="48"/>
      <c r="P26" s="18"/>
      <c r="Q26" s="48"/>
      <c r="R26" s="18"/>
      <c r="S26" s="48"/>
    </row>
    <row r="27" spans="2:19" ht="17.25" customHeight="1" x14ac:dyDescent="0.2">
      <c r="B27" s="434"/>
      <c r="C27" s="45">
        <v>15</v>
      </c>
      <c r="D27" s="5"/>
      <c r="E27" s="15"/>
      <c r="F27" s="46"/>
      <c r="G27" s="15"/>
      <c r="H27" s="18"/>
      <c r="I27" s="47"/>
      <c r="J27" s="18"/>
      <c r="K27" s="15"/>
      <c r="L27" s="16"/>
      <c r="M27" s="48"/>
      <c r="N27" s="18"/>
      <c r="O27" s="48"/>
      <c r="P27" s="18"/>
      <c r="Q27" s="48"/>
      <c r="R27" s="18"/>
      <c r="S27" s="48"/>
    </row>
    <row r="28" spans="2:19" ht="17.25" customHeight="1" x14ac:dyDescent="0.2">
      <c r="B28" s="434"/>
      <c r="C28" s="45">
        <v>16</v>
      </c>
      <c r="D28" s="5"/>
      <c r="E28" s="15"/>
      <c r="F28" s="46"/>
      <c r="G28" s="15"/>
      <c r="H28" s="18"/>
      <c r="I28" s="47"/>
      <c r="J28" s="18"/>
      <c r="K28" s="15"/>
      <c r="L28" s="16"/>
      <c r="M28" s="48"/>
      <c r="N28" s="18"/>
      <c r="O28" s="48"/>
      <c r="P28" s="18"/>
      <c r="Q28" s="48"/>
      <c r="R28" s="18"/>
      <c r="S28" s="48"/>
    </row>
    <row r="29" spans="2:19" ht="17.25" customHeight="1" x14ac:dyDescent="0.2">
      <c r="B29" s="434"/>
      <c r="C29" s="45">
        <v>17</v>
      </c>
      <c r="D29" s="5"/>
      <c r="E29" s="15"/>
      <c r="F29" s="46"/>
      <c r="G29" s="15"/>
      <c r="H29" s="18"/>
      <c r="I29" s="47"/>
      <c r="J29" s="18"/>
      <c r="K29" s="15"/>
      <c r="L29" s="16"/>
      <c r="M29" s="48"/>
      <c r="N29" s="18"/>
      <c r="O29" s="48"/>
      <c r="P29" s="18"/>
      <c r="Q29" s="48"/>
      <c r="R29" s="18"/>
      <c r="S29" s="48"/>
    </row>
    <row r="30" spans="2:19" s="25" customFormat="1" ht="17.25" customHeight="1" x14ac:dyDescent="0.25">
      <c r="B30" s="434"/>
      <c r="C30" s="45">
        <v>18</v>
      </c>
      <c r="D30" s="49"/>
      <c r="E30" s="15"/>
      <c r="F30" s="46"/>
      <c r="G30" s="15"/>
      <c r="H30" s="18"/>
      <c r="I30" s="47"/>
      <c r="J30" s="18"/>
      <c r="K30" s="15"/>
      <c r="L30" s="16"/>
      <c r="M30" s="48"/>
      <c r="N30" s="18"/>
      <c r="O30" s="48"/>
      <c r="P30" s="18"/>
      <c r="Q30" s="48"/>
      <c r="R30" s="18"/>
      <c r="S30" s="48"/>
    </row>
    <row r="31" spans="2:19" s="25" customFormat="1" ht="17.25" customHeight="1" x14ac:dyDescent="0.25">
      <c r="B31" s="434"/>
      <c r="C31" s="45">
        <v>19</v>
      </c>
      <c r="D31" s="49"/>
      <c r="E31" s="15"/>
      <c r="F31" s="46"/>
      <c r="G31" s="15"/>
      <c r="H31" s="18"/>
      <c r="I31" s="47"/>
      <c r="J31" s="18"/>
      <c r="K31" s="15"/>
      <c r="L31" s="16"/>
      <c r="M31" s="48"/>
      <c r="N31" s="18"/>
      <c r="O31" s="48"/>
      <c r="P31" s="18"/>
      <c r="Q31" s="48"/>
      <c r="R31" s="18"/>
      <c r="S31" s="48"/>
    </row>
    <row r="32" spans="2:19" s="25" customFormat="1" ht="17.25" customHeight="1" x14ac:dyDescent="0.25">
      <c r="B32" s="434"/>
      <c r="C32" s="45">
        <v>20</v>
      </c>
      <c r="D32" s="49"/>
      <c r="E32" s="15"/>
      <c r="F32" s="46"/>
      <c r="G32" s="15"/>
      <c r="H32" s="18"/>
      <c r="I32" s="47"/>
      <c r="J32" s="18"/>
      <c r="K32" s="15"/>
      <c r="L32" s="16"/>
      <c r="M32" s="48"/>
      <c r="N32" s="18"/>
      <c r="O32" s="48"/>
      <c r="P32" s="18"/>
      <c r="Q32" s="48"/>
      <c r="R32" s="18"/>
      <c r="S32" s="48"/>
    </row>
    <row r="33" spans="2:19" s="25" customFormat="1" ht="17.25" customHeight="1" x14ac:dyDescent="0.25">
      <c r="B33" s="434"/>
      <c r="C33" s="45">
        <v>21</v>
      </c>
      <c r="D33" s="49"/>
      <c r="E33" s="15"/>
      <c r="F33" s="46"/>
      <c r="G33" s="15"/>
      <c r="H33" s="18"/>
      <c r="I33" s="47"/>
      <c r="J33" s="18"/>
      <c r="K33" s="15"/>
      <c r="L33" s="16"/>
      <c r="M33" s="48"/>
      <c r="N33" s="18"/>
      <c r="O33" s="48"/>
      <c r="P33" s="18"/>
      <c r="Q33" s="48"/>
      <c r="R33" s="18"/>
      <c r="S33" s="48"/>
    </row>
    <row r="34" spans="2:19" s="25" customFormat="1" ht="17.25" customHeight="1" x14ac:dyDescent="0.25">
      <c r="B34" s="434"/>
      <c r="C34" s="45">
        <v>22</v>
      </c>
      <c r="D34" s="49"/>
      <c r="E34" s="15"/>
      <c r="F34" s="46"/>
      <c r="G34" s="15"/>
      <c r="H34" s="18"/>
      <c r="I34" s="47"/>
      <c r="J34" s="18"/>
      <c r="K34" s="15"/>
      <c r="L34" s="16"/>
      <c r="M34" s="48"/>
      <c r="N34" s="18"/>
      <c r="O34" s="48"/>
      <c r="P34" s="18"/>
      <c r="Q34" s="48"/>
      <c r="R34" s="18"/>
      <c r="S34" s="48"/>
    </row>
    <row r="35" spans="2:19" s="25" customFormat="1" ht="17.25" customHeight="1" x14ac:dyDescent="0.25">
      <c r="B35" s="434"/>
      <c r="C35" s="45">
        <v>23</v>
      </c>
      <c r="D35" s="49"/>
      <c r="E35" s="15"/>
      <c r="F35" s="46"/>
      <c r="G35" s="15"/>
      <c r="H35" s="18"/>
      <c r="I35" s="47"/>
      <c r="J35" s="18"/>
      <c r="K35" s="15"/>
      <c r="L35" s="16"/>
      <c r="M35" s="48"/>
      <c r="N35" s="18"/>
      <c r="O35" s="48"/>
      <c r="P35" s="18"/>
      <c r="Q35" s="48"/>
      <c r="R35" s="18"/>
      <c r="S35" s="48"/>
    </row>
    <row r="36" spans="2:19" s="25" customFormat="1" ht="17.25" customHeight="1" x14ac:dyDescent="0.25">
      <c r="B36" s="434"/>
      <c r="C36" s="45">
        <v>24</v>
      </c>
      <c r="D36" s="49"/>
      <c r="E36" s="15"/>
      <c r="F36" s="46"/>
      <c r="G36" s="15"/>
      <c r="H36" s="18"/>
      <c r="I36" s="47"/>
      <c r="J36" s="18"/>
      <c r="K36" s="15"/>
      <c r="L36" s="16"/>
      <c r="M36" s="48"/>
      <c r="N36" s="18"/>
      <c r="O36" s="48"/>
      <c r="P36" s="18"/>
      <c r="Q36" s="48"/>
      <c r="R36" s="18"/>
      <c r="S36" s="48"/>
    </row>
    <row r="37" spans="2:19" ht="17.25" customHeight="1" x14ac:dyDescent="0.2">
      <c r="B37" s="434"/>
      <c r="C37" s="45">
        <v>25</v>
      </c>
      <c r="D37" s="5"/>
      <c r="E37" s="15"/>
      <c r="F37" s="46"/>
      <c r="G37" s="15"/>
      <c r="H37" s="18"/>
      <c r="I37" s="47"/>
      <c r="J37" s="18"/>
      <c r="K37" s="15"/>
      <c r="L37" s="16"/>
      <c r="M37" s="48"/>
      <c r="N37" s="18"/>
      <c r="O37" s="48"/>
      <c r="P37" s="18"/>
      <c r="Q37" s="48"/>
      <c r="R37" s="18"/>
      <c r="S37" s="48"/>
    </row>
    <row r="38" spans="2:19" ht="17.25" customHeight="1" x14ac:dyDescent="0.2">
      <c r="B38" s="434"/>
      <c r="C38" s="45">
        <v>26</v>
      </c>
      <c r="D38" s="5"/>
      <c r="E38" s="15"/>
      <c r="F38" s="46"/>
      <c r="G38" s="15"/>
      <c r="H38" s="18"/>
      <c r="I38" s="47"/>
      <c r="J38" s="18"/>
      <c r="K38" s="15"/>
      <c r="L38" s="16"/>
      <c r="M38" s="48"/>
      <c r="N38" s="18"/>
      <c r="O38" s="48"/>
      <c r="P38" s="18"/>
      <c r="Q38" s="48"/>
      <c r="R38" s="18"/>
      <c r="S38" s="48"/>
    </row>
    <row r="39" spans="2:19" ht="17.25" customHeight="1" x14ac:dyDescent="0.2">
      <c r="B39" s="434"/>
      <c r="C39" s="45">
        <v>27</v>
      </c>
      <c r="D39" s="5"/>
      <c r="E39" s="15"/>
      <c r="F39" s="46"/>
      <c r="G39" s="15"/>
      <c r="H39" s="18"/>
      <c r="I39" s="47"/>
      <c r="J39" s="18"/>
      <c r="K39" s="15"/>
      <c r="L39" s="16"/>
      <c r="M39" s="48"/>
      <c r="N39" s="18"/>
      <c r="O39" s="48"/>
      <c r="P39" s="18"/>
      <c r="Q39" s="48"/>
      <c r="R39" s="18"/>
      <c r="S39" s="48"/>
    </row>
    <row r="40" spans="2:19" ht="17.25" customHeight="1" x14ac:dyDescent="0.2">
      <c r="B40" s="434"/>
      <c r="C40" s="45">
        <v>28</v>
      </c>
      <c r="D40" s="5"/>
      <c r="E40" s="15"/>
      <c r="F40" s="46"/>
      <c r="G40" s="15"/>
      <c r="H40" s="18"/>
      <c r="I40" s="47"/>
      <c r="J40" s="18"/>
      <c r="K40" s="15"/>
      <c r="L40" s="16"/>
      <c r="M40" s="48"/>
      <c r="N40" s="18"/>
      <c r="O40" s="48"/>
      <c r="P40" s="18"/>
      <c r="Q40" s="48"/>
      <c r="R40" s="18"/>
      <c r="S40" s="48"/>
    </row>
    <row r="41" spans="2:19" ht="17.25" customHeight="1" x14ac:dyDescent="0.2">
      <c r="B41" s="434"/>
      <c r="C41" s="45">
        <v>29</v>
      </c>
      <c r="D41" s="5"/>
      <c r="E41" s="15"/>
      <c r="F41" s="46"/>
      <c r="G41" s="15"/>
      <c r="H41" s="18"/>
      <c r="I41" s="47"/>
      <c r="J41" s="18"/>
      <c r="K41" s="15"/>
      <c r="L41" s="16"/>
      <c r="M41" s="48"/>
      <c r="N41" s="18"/>
      <c r="O41" s="48"/>
      <c r="P41" s="18"/>
      <c r="Q41" s="48"/>
      <c r="R41" s="18"/>
      <c r="S41" s="48"/>
    </row>
    <row r="42" spans="2:19" ht="17.25" customHeight="1" x14ac:dyDescent="0.2">
      <c r="B42" s="434"/>
      <c r="C42" s="45">
        <v>30</v>
      </c>
      <c r="D42" s="5"/>
      <c r="E42" s="15"/>
      <c r="F42" s="46"/>
      <c r="G42" s="15"/>
      <c r="H42" s="18"/>
      <c r="I42" s="47"/>
      <c r="J42" s="18"/>
      <c r="K42" s="15"/>
      <c r="L42" s="16"/>
      <c r="M42" s="48"/>
      <c r="N42" s="18"/>
      <c r="O42" s="48"/>
      <c r="P42" s="18"/>
      <c r="Q42" s="48"/>
      <c r="R42" s="18"/>
      <c r="S42" s="48"/>
    </row>
    <row r="43" spans="2:19" ht="17.25" customHeight="1" thickBot="1" x14ac:dyDescent="0.25">
      <c r="B43" s="434"/>
      <c r="C43" s="50">
        <v>31</v>
      </c>
      <c r="D43" s="51"/>
      <c r="E43" s="52"/>
      <c r="F43" s="53"/>
      <c r="G43" s="52"/>
      <c r="H43" s="54"/>
      <c r="I43" s="55"/>
      <c r="J43" s="19"/>
      <c r="K43" s="17"/>
      <c r="L43" s="56"/>
      <c r="M43" s="57"/>
      <c r="N43" s="54"/>
      <c r="O43" s="57"/>
      <c r="P43" s="54"/>
      <c r="Q43" s="57"/>
      <c r="R43" s="54"/>
      <c r="S43" s="57"/>
    </row>
    <row r="44" spans="2:19" ht="15" customHeight="1" x14ac:dyDescent="0.2">
      <c r="B44" s="191" t="s">
        <v>205</v>
      </c>
      <c r="C44" s="192"/>
      <c r="D44" s="192"/>
      <c r="E44" s="192"/>
      <c r="F44" s="192"/>
      <c r="G44" s="192"/>
      <c r="H44" s="192"/>
      <c r="I44" s="192"/>
      <c r="J44" s="193"/>
      <c r="K44" s="191" t="s">
        <v>199</v>
      </c>
      <c r="L44" s="192"/>
      <c r="M44" s="192"/>
      <c r="N44" s="192"/>
      <c r="O44" s="192"/>
      <c r="P44" s="192"/>
      <c r="Q44" s="192"/>
      <c r="R44" s="192"/>
      <c r="S44" s="193"/>
    </row>
    <row r="45" spans="2:19" ht="15" customHeight="1" x14ac:dyDescent="0.2">
      <c r="B45" s="194"/>
      <c r="C45" s="195"/>
      <c r="D45" s="195"/>
      <c r="E45" s="195"/>
      <c r="F45" s="195"/>
      <c r="G45" s="195"/>
      <c r="H45" s="195"/>
      <c r="I45" s="195"/>
      <c r="J45" s="196"/>
      <c r="K45" s="194"/>
      <c r="L45" s="195"/>
      <c r="M45" s="195"/>
      <c r="N45" s="195"/>
      <c r="O45" s="195"/>
      <c r="P45" s="195"/>
      <c r="Q45" s="195"/>
      <c r="R45" s="195"/>
      <c r="S45" s="196"/>
    </row>
    <row r="46" spans="2:19" ht="15" customHeight="1" x14ac:dyDescent="0.2">
      <c r="B46" s="194"/>
      <c r="C46" s="195"/>
      <c r="D46" s="195"/>
      <c r="E46" s="195"/>
      <c r="F46" s="195"/>
      <c r="G46" s="195"/>
      <c r="H46" s="195"/>
      <c r="I46" s="195"/>
      <c r="J46" s="196"/>
      <c r="K46" s="194"/>
      <c r="L46" s="195"/>
      <c r="M46" s="195"/>
      <c r="N46" s="195"/>
      <c r="O46" s="195"/>
      <c r="P46" s="195"/>
      <c r="Q46" s="195"/>
      <c r="R46" s="195"/>
      <c r="S46" s="196"/>
    </row>
    <row r="47" spans="2:19" ht="15" customHeight="1" x14ac:dyDescent="0.2">
      <c r="B47" s="194"/>
      <c r="C47" s="195"/>
      <c r="D47" s="195"/>
      <c r="E47" s="195"/>
      <c r="F47" s="195"/>
      <c r="G47" s="195"/>
      <c r="H47" s="195"/>
      <c r="I47" s="195"/>
      <c r="J47" s="196"/>
      <c r="K47" s="194"/>
      <c r="L47" s="195"/>
      <c r="M47" s="195"/>
      <c r="N47" s="195"/>
      <c r="O47" s="195"/>
      <c r="P47" s="195"/>
      <c r="Q47" s="195"/>
      <c r="R47" s="195"/>
      <c r="S47" s="196"/>
    </row>
    <row r="48" spans="2:19" ht="15" customHeight="1" x14ac:dyDescent="0.2">
      <c r="B48" s="194"/>
      <c r="C48" s="195"/>
      <c r="D48" s="195"/>
      <c r="E48" s="195"/>
      <c r="F48" s="195"/>
      <c r="G48" s="195"/>
      <c r="H48" s="195"/>
      <c r="I48" s="195"/>
      <c r="J48" s="196"/>
      <c r="K48" s="194"/>
      <c r="L48" s="195"/>
      <c r="M48" s="195"/>
      <c r="N48" s="195"/>
      <c r="O48" s="195"/>
      <c r="P48" s="195"/>
      <c r="Q48" s="195"/>
      <c r="R48" s="195"/>
      <c r="S48" s="196"/>
    </row>
    <row r="49" spans="2:19" ht="10.5" customHeight="1" thickBot="1" x14ac:dyDescent="0.25">
      <c r="B49" s="197"/>
      <c r="C49" s="198"/>
      <c r="D49" s="198"/>
      <c r="E49" s="198"/>
      <c r="F49" s="198"/>
      <c r="G49" s="198"/>
      <c r="H49" s="198"/>
      <c r="I49" s="198"/>
      <c r="J49" s="199"/>
      <c r="K49" s="197"/>
      <c r="L49" s="198"/>
      <c r="M49" s="198"/>
      <c r="N49" s="198"/>
      <c r="O49" s="198"/>
      <c r="P49" s="198"/>
      <c r="Q49" s="198"/>
      <c r="R49" s="198"/>
      <c r="S49" s="199"/>
    </row>
  </sheetData>
  <mergeCells count="63">
    <mergeCell ref="C4:L4"/>
    <mergeCell ref="M4:N4"/>
    <mergeCell ref="O4:S4"/>
    <mergeCell ref="B1:C1"/>
    <mergeCell ref="D1:N1"/>
    <mergeCell ref="O1:S1"/>
    <mergeCell ref="B2:S2"/>
    <mergeCell ref="B3:S3"/>
    <mergeCell ref="C5:L5"/>
    <mergeCell ref="M5:N5"/>
    <mergeCell ref="O5:S5"/>
    <mergeCell ref="B6:C11"/>
    <mergeCell ref="D6:E6"/>
    <mergeCell ref="F6:G6"/>
    <mergeCell ref="H6:I6"/>
    <mergeCell ref="J6:K6"/>
    <mergeCell ref="L6:M6"/>
    <mergeCell ref="N6:O6"/>
    <mergeCell ref="P6:Q6"/>
    <mergeCell ref="R6:S6"/>
    <mergeCell ref="D7:E7"/>
    <mergeCell ref="F7:G7"/>
    <mergeCell ref="H7:I7"/>
    <mergeCell ref="J7:K7"/>
    <mergeCell ref="L7:M7"/>
    <mergeCell ref="N7:O7"/>
    <mergeCell ref="P7:Q7"/>
    <mergeCell ref="R7:S7"/>
    <mergeCell ref="D8:E8"/>
    <mergeCell ref="F8:G8"/>
    <mergeCell ref="H8:I8"/>
    <mergeCell ref="J8:K8"/>
    <mergeCell ref="L8:M8"/>
    <mergeCell ref="D9:E9"/>
    <mergeCell ref="F9:G9"/>
    <mergeCell ref="H9:I9"/>
    <mergeCell ref="J9:K9"/>
    <mergeCell ref="L9:M9"/>
    <mergeCell ref="J10:K10"/>
    <mergeCell ref="L10:M10"/>
    <mergeCell ref="N10:O10"/>
    <mergeCell ref="P8:Q8"/>
    <mergeCell ref="R8:S8"/>
    <mergeCell ref="N9:O9"/>
    <mergeCell ref="P9:Q9"/>
    <mergeCell ref="R9:S9"/>
    <mergeCell ref="N8:O8"/>
    <mergeCell ref="B13:B43"/>
    <mergeCell ref="B44:J49"/>
    <mergeCell ref="K44:S49"/>
    <mergeCell ref="P10:Q10"/>
    <mergeCell ref="R10:S10"/>
    <mergeCell ref="D11:E11"/>
    <mergeCell ref="F11:G11"/>
    <mergeCell ref="H11:I11"/>
    <mergeCell ref="J11:K11"/>
    <mergeCell ref="L11:M11"/>
    <mergeCell ref="N11:O11"/>
    <mergeCell ref="P11:Q11"/>
    <mergeCell ref="R11:S11"/>
    <mergeCell ref="D10:E10"/>
    <mergeCell ref="F10:G10"/>
    <mergeCell ref="H10:I10"/>
  </mergeCells>
  <pageMargins left="0.7" right="0.7" top="0.75" bottom="0.75" header="0.3" footer="0.3"/>
  <pageSetup scale="8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  <pageSetUpPr fitToPage="1"/>
  </sheetPr>
  <dimension ref="A1:T49"/>
  <sheetViews>
    <sheetView tabSelected="1" zoomScaleNormal="100" workbookViewId="0">
      <selection activeCell="AB9" sqref="AA9:AB18"/>
    </sheetView>
  </sheetViews>
  <sheetFormatPr baseColWidth="10" defaultRowHeight="15" x14ac:dyDescent="0.25"/>
  <cols>
    <col min="1" max="1" width="2.5703125" style="2" customWidth="1"/>
    <col min="2" max="2" width="13.7109375" style="2" customWidth="1"/>
    <col min="3" max="3" width="5.28515625" style="2" bestFit="1" customWidth="1"/>
    <col min="4" max="19" width="6.7109375" style="2" customWidth="1"/>
    <col min="20" max="20" width="2.140625" hidden="1" customWidth="1"/>
  </cols>
  <sheetData>
    <row r="1" spans="2:20" ht="77.25" customHeight="1" thickBot="1" x14ac:dyDescent="0.3">
      <c r="B1" s="452"/>
      <c r="C1" s="373"/>
      <c r="D1" s="453" t="s">
        <v>206</v>
      </c>
      <c r="E1" s="456"/>
      <c r="F1" s="456"/>
      <c r="G1" s="456"/>
      <c r="H1" s="456"/>
      <c r="I1" s="456"/>
      <c r="J1" s="456"/>
      <c r="K1" s="456"/>
      <c r="L1" s="456"/>
      <c r="M1" s="456"/>
      <c r="N1" s="457"/>
      <c r="O1" s="370"/>
      <c r="P1" s="371"/>
      <c r="Q1" s="371"/>
      <c r="R1" s="371"/>
      <c r="S1" s="372"/>
    </row>
    <row r="2" spans="2:20" ht="15.75" thickBot="1" x14ac:dyDescent="0.3">
      <c r="B2" s="375" t="s">
        <v>72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5"/>
    </row>
    <row r="3" spans="2:20" ht="15.75" thickBot="1" x14ac:dyDescent="0.3">
      <c r="B3" s="375" t="s">
        <v>136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5"/>
    </row>
    <row r="4" spans="2:20" ht="32.25" customHeight="1" x14ac:dyDescent="0.25">
      <c r="B4" s="26" t="s">
        <v>58</v>
      </c>
      <c r="C4" s="247" t="s">
        <v>96</v>
      </c>
      <c r="D4" s="247"/>
      <c r="E4" s="247"/>
      <c r="F4" s="247"/>
      <c r="G4" s="247"/>
      <c r="H4" s="247"/>
      <c r="I4" s="247"/>
      <c r="J4" s="247"/>
      <c r="K4" s="247"/>
      <c r="L4" s="449"/>
      <c r="M4" s="450" t="s">
        <v>5</v>
      </c>
      <c r="N4" s="451"/>
      <c r="O4" s="458" t="s">
        <v>234</v>
      </c>
      <c r="P4" s="458"/>
      <c r="Q4" s="458"/>
      <c r="R4" s="458"/>
      <c r="S4" s="459"/>
    </row>
    <row r="5" spans="2:20" ht="15.75" thickBot="1" x14ac:dyDescent="0.3">
      <c r="B5" s="27" t="s">
        <v>4</v>
      </c>
      <c r="C5" s="438" t="s">
        <v>233</v>
      </c>
      <c r="D5" s="439"/>
      <c r="E5" s="439"/>
      <c r="F5" s="439"/>
      <c r="G5" s="439"/>
      <c r="H5" s="439"/>
      <c r="I5" s="439"/>
      <c r="J5" s="439"/>
      <c r="K5" s="439"/>
      <c r="L5" s="440"/>
      <c r="M5" s="441" t="s">
        <v>73</v>
      </c>
      <c r="N5" s="442"/>
      <c r="O5" s="443"/>
      <c r="P5" s="443"/>
      <c r="Q5" s="443"/>
      <c r="R5" s="443"/>
      <c r="S5" s="444"/>
    </row>
    <row r="6" spans="2:20" ht="15.75" thickBot="1" x14ac:dyDescent="0.3">
      <c r="B6" s="337"/>
      <c r="C6" s="338"/>
      <c r="D6" s="436" t="s">
        <v>74</v>
      </c>
      <c r="E6" s="460"/>
      <c r="F6" s="460"/>
      <c r="G6" s="437"/>
      <c r="H6" s="436" t="s">
        <v>74</v>
      </c>
      <c r="I6" s="460"/>
      <c r="J6" s="460"/>
      <c r="K6" s="437"/>
      <c r="L6" s="436" t="s">
        <v>74</v>
      </c>
      <c r="M6" s="460"/>
      <c r="N6" s="460"/>
      <c r="O6" s="437"/>
      <c r="P6" s="436" t="s">
        <v>74</v>
      </c>
      <c r="Q6" s="460"/>
      <c r="R6" s="460"/>
      <c r="S6" s="437"/>
    </row>
    <row r="7" spans="2:20" ht="15.75" thickBot="1" x14ac:dyDescent="0.3">
      <c r="B7" s="445"/>
      <c r="C7" s="446"/>
      <c r="D7" s="418" t="s">
        <v>226</v>
      </c>
      <c r="E7" s="419"/>
      <c r="F7" s="419"/>
      <c r="G7" s="435"/>
      <c r="H7" s="418" t="s">
        <v>225</v>
      </c>
      <c r="I7" s="419"/>
      <c r="J7" s="419"/>
      <c r="K7" s="435"/>
      <c r="L7" s="418" t="s">
        <v>229</v>
      </c>
      <c r="M7" s="419"/>
      <c r="N7" s="419"/>
      <c r="O7" s="435"/>
      <c r="P7" s="418"/>
      <c r="Q7" s="419"/>
      <c r="R7" s="419"/>
      <c r="S7" s="435"/>
    </row>
    <row r="8" spans="2:20" ht="15.75" thickBot="1" x14ac:dyDescent="0.3">
      <c r="B8" s="445"/>
      <c r="C8" s="446"/>
      <c r="D8" s="436" t="s">
        <v>75</v>
      </c>
      <c r="E8" s="460"/>
      <c r="F8" s="460"/>
      <c r="G8" s="437"/>
      <c r="H8" s="418" t="s">
        <v>76</v>
      </c>
      <c r="I8" s="419"/>
      <c r="J8" s="419"/>
      <c r="K8" s="435"/>
      <c r="L8" s="418" t="s">
        <v>76</v>
      </c>
      <c r="M8" s="419"/>
      <c r="N8" s="419"/>
      <c r="O8" s="435"/>
      <c r="P8" s="418" t="s">
        <v>76</v>
      </c>
      <c r="Q8" s="419"/>
      <c r="R8" s="419"/>
      <c r="S8" s="435"/>
    </row>
    <row r="9" spans="2:20" ht="15.75" thickBot="1" x14ac:dyDescent="0.3">
      <c r="B9" s="445"/>
      <c r="C9" s="446"/>
      <c r="D9" s="418" t="s">
        <v>227</v>
      </c>
      <c r="E9" s="419"/>
      <c r="F9" s="419"/>
      <c r="G9" s="435"/>
      <c r="H9" s="418" t="s">
        <v>228</v>
      </c>
      <c r="I9" s="419"/>
      <c r="J9" s="419"/>
      <c r="K9" s="435"/>
      <c r="L9" s="418" t="s">
        <v>230</v>
      </c>
      <c r="M9" s="419"/>
      <c r="N9" s="419"/>
      <c r="O9" s="435"/>
      <c r="P9" s="418"/>
      <c r="Q9" s="419"/>
      <c r="R9" s="419"/>
      <c r="S9" s="435"/>
    </row>
    <row r="10" spans="2:20" ht="15.75" thickBot="1" x14ac:dyDescent="0.3">
      <c r="B10" s="445"/>
      <c r="C10" s="446"/>
      <c r="D10" s="436" t="s">
        <v>69</v>
      </c>
      <c r="E10" s="460"/>
      <c r="F10" s="460"/>
      <c r="G10" s="437"/>
      <c r="H10" s="418" t="s">
        <v>69</v>
      </c>
      <c r="I10" s="419"/>
      <c r="J10" s="419"/>
      <c r="K10" s="435"/>
      <c r="L10" s="418" t="s">
        <v>69</v>
      </c>
      <c r="M10" s="419"/>
      <c r="N10" s="419"/>
      <c r="O10" s="435"/>
      <c r="P10" s="418" t="s">
        <v>69</v>
      </c>
      <c r="Q10" s="419"/>
      <c r="R10" s="419"/>
      <c r="S10" s="435"/>
    </row>
    <row r="11" spans="2:20" ht="15.75" thickBot="1" x14ac:dyDescent="0.3">
      <c r="B11" s="447"/>
      <c r="C11" s="448"/>
      <c r="D11" s="418" t="s">
        <v>231</v>
      </c>
      <c r="E11" s="419"/>
      <c r="F11" s="419"/>
      <c r="G11" s="435"/>
      <c r="H11" s="418" t="s">
        <v>232</v>
      </c>
      <c r="I11" s="419"/>
      <c r="J11" s="419"/>
      <c r="K11" s="435"/>
      <c r="L11" s="418" t="s">
        <v>232</v>
      </c>
      <c r="M11" s="419"/>
      <c r="N11" s="419"/>
      <c r="O11" s="435"/>
      <c r="P11" s="418"/>
      <c r="Q11" s="419"/>
      <c r="R11" s="419"/>
      <c r="S11" s="435"/>
    </row>
    <row r="12" spans="2:20" ht="15.75" thickBot="1" x14ac:dyDescent="0.3">
      <c r="B12" s="28" t="s">
        <v>77</v>
      </c>
      <c r="C12" s="29" t="s">
        <v>78</v>
      </c>
      <c r="D12" s="375" t="s">
        <v>14</v>
      </c>
      <c r="E12" s="245"/>
      <c r="F12" s="461" t="s">
        <v>15</v>
      </c>
      <c r="G12" s="462"/>
      <c r="H12" s="461" t="s">
        <v>14</v>
      </c>
      <c r="I12" s="462"/>
      <c r="J12" s="461" t="s">
        <v>15</v>
      </c>
      <c r="K12" s="462"/>
      <c r="L12" s="461" t="s">
        <v>14</v>
      </c>
      <c r="M12" s="462"/>
      <c r="N12" s="461" t="s">
        <v>15</v>
      </c>
      <c r="O12" s="462"/>
      <c r="P12" s="461" t="s">
        <v>14</v>
      </c>
      <c r="Q12" s="462"/>
      <c r="R12" s="461" t="s">
        <v>15</v>
      </c>
      <c r="S12" s="462"/>
    </row>
    <row r="13" spans="2:20" ht="19.5" thickBot="1" x14ac:dyDescent="0.3">
      <c r="B13" s="433" t="s">
        <v>204</v>
      </c>
      <c r="C13" s="37">
        <v>1</v>
      </c>
      <c r="D13" s="375"/>
      <c r="E13" s="245"/>
      <c r="F13" s="375"/>
      <c r="G13" s="245"/>
      <c r="H13" s="375"/>
      <c r="I13" s="245"/>
      <c r="J13" s="375"/>
      <c r="K13" s="245"/>
      <c r="L13" s="375"/>
      <c r="M13" s="245"/>
      <c r="N13" s="375"/>
      <c r="O13" s="245"/>
      <c r="P13" s="375"/>
      <c r="Q13" s="245"/>
      <c r="R13" s="375"/>
      <c r="S13" s="245"/>
      <c r="T13" t="s">
        <v>223</v>
      </c>
    </row>
    <row r="14" spans="2:20" ht="19.5" thickBot="1" x14ac:dyDescent="0.3">
      <c r="B14" s="434"/>
      <c r="C14" s="45">
        <v>2</v>
      </c>
      <c r="D14" s="375"/>
      <c r="E14" s="245"/>
      <c r="F14" s="375"/>
      <c r="G14" s="245"/>
      <c r="H14" s="375"/>
      <c r="I14" s="245"/>
      <c r="J14" s="375"/>
      <c r="K14" s="245"/>
      <c r="L14" s="375"/>
      <c r="M14" s="245"/>
      <c r="N14" s="375"/>
      <c r="O14" s="245"/>
      <c r="P14" s="375"/>
      <c r="Q14" s="245"/>
      <c r="R14" s="375"/>
      <c r="S14" s="245"/>
    </row>
    <row r="15" spans="2:20" ht="19.5" thickBot="1" x14ac:dyDescent="0.3">
      <c r="B15" s="434"/>
      <c r="C15" s="45">
        <v>3</v>
      </c>
      <c r="D15" s="375"/>
      <c r="E15" s="245"/>
      <c r="F15" s="375"/>
      <c r="G15" s="245"/>
      <c r="H15" s="375"/>
      <c r="I15" s="245"/>
      <c r="J15" s="375"/>
      <c r="K15" s="245"/>
      <c r="L15" s="375"/>
      <c r="M15" s="245"/>
      <c r="N15" s="375"/>
      <c r="O15" s="245"/>
      <c r="P15" s="375"/>
      <c r="Q15" s="245"/>
      <c r="R15" s="375"/>
      <c r="S15" s="245"/>
    </row>
    <row r="16" spans="2:20" ht="19.5" thickBot="1" x14ac:dyDescent="0.3">
      <c r="B16" s="434"/>
      <c r="C16" s="45">
        <v>4</v>
      </c>
      <c r="D16" s="375"/>
      <c r="E16" s="245"/>
      <c r="F16" s="375"/>
      <c r="G16" s="245"/>
      <c r="H16" s="375"/>
      <c r="I16" s="245"/>
      <c r="J16" s="375"/>
      <c r="K16" s="245"/>
      <c r="L16" s="375"/>
      <c r="M16" s="245"/>
      <c r="N16" s="375"/>
      <c r="O16" s="245"/>
      <c r="P16" s="375"/>
      <c r="Q16" s="245"/>
      <c r="R16" s="375"/>
      <c r="S16" s="245"/>
    </row>
    <row r="17" spans="1:19" ht="19.5" thickBot="1" x14ac:dyDescent="0.3">
      <c r="B17" s="434"/>
      <c r="C17" s="45">
        <v>5</v>
      </c>
      <c r="D17" s="375"/>
      <c r="E17" s="245"/>
      <c r="F17" s="375"/>
      <c r="G17" s="245"/>
      <c r="H17" s="375"/>
      <c r="I17" s="245"/>
      <c r="J17" s="375"/>
      <c r="K17" s="245"/>
      <c r="L17" s="375"/>
      <c r="M17" s="245"/>
      <c r="N17" s="375"/>
      <c r="O17" s="245"/>
      <c r="P17" s="375"/>
      <c r="Q17" s="245"/>
      <c r="R17" s="375"/>
      <c r="S17" s="245"/>
    </row>
    <row r="18" spans="1:19" ht="19.5" thickBot="1" x14ac:dyDescent="0.3">
      <c r="B18" s="434"/>
      <c r="C18" s="45">
        <v>6</v>
      </c>
      <c r="D18" s="375"/>
      <c r="E18" s="245"/>
      <c r="F18" s="375"/>
      <c r="G18" s="245"/>
      <c r="H18" s="375"/>
      <c r="I18" s="245"/>
      <c r="J18" s="375"/>
      <c r="K18" s="245"/>
      <c r="L18" s="375"/>
      <c r="M18" s="245"/>
      <c r="N18" s="375"/>
      <c r="O18" s="245"/>
      <c r="P18" s="375"/>
      <c r="Q18" s="245"/>
      <c r="R18" s="375"/>
      <c r="S18" s="245"/>
    </row>
    <row r="19" spans="1:19" ht="19.5" thickBot="1" x14ac:dyDescent="0.3">
      <c r="B19" s="434"/>
      <c r="C19" s="45">
        <v>7</v>
      </c>
      <c r="D19" s="375"/>
      <c r="E19" s="245"/>
      <c r="F19" s="375"/>
      <c r="G19" s="245"/>
      <c r="H19" s="375"/>
      <c r="I19" s="245"/>
      <c r="J19" s="375"/>
      <c r="K19" s="245"/>
      <c r="L19" s="375"/>
      <c r="M19" s="245"/>
      <c r="N19" s="375"/>
      <c r="O19" s="245"/>
      <c r="P19" s="375"/>
      <c r="Q19" s="245"/>
      <c r="R19" s="375"/>
      <c r="S19" s="245"/>
    </row>
    <row r="20" spans="1:19" ht="19.5" thickBot="1" x14ac:dyDescent="0.3">
      <c r="B20" s="434"/>
      <c r="C20" s="45">
        <v>8</v>
      </c>
      <c r="D20" s="375"/>
      <c r="E20" s="245"/>
      <c r="F20" s="375"/>
      <c r="G20" s="245"/>
      <c r="H20" s="375"/>
      <c r="I20" s="245"/>
      <c r="J20" s="375"/>
      <c r="K20" s="245"/>
      <c r="L20" s="375"/>
      <c r="M20" s="245"/>
      <c r="N20" s="375"/>
      <c r="O20" s="245"/>
      <c r="P20" s="375"/>
      <c r="Q20" s="245"/>
      <c r="R20" s="375"/>
      <c r="S20" s="245"/>
    </row>
    <row r="21" spans="1:19" ht="19.5" thickBot="1" x14ac:dyDescent="0.3">
      <c r="B21" s="434"/>
      <c r="C21" s="45">
        <v>9</v>
      </c>
      <c r="D21" s="375"/>
      <c r="E21" s="245"/>
      <c r="F21" s="375"/>
      <c r="G21" s="245"/>
      <c r="H21" s="375"/>
      <c r="I21" s="245"/>
      <c r="J21" s="375"/>
      <c r="K21" s="245"/>
      <c r="L21" s="375"/>
      <c r="M21" s="245"/>
      <c r="N21" s="375"/>
      <c r="O21" s="245"/>
      <c r="P21" s="375"/>
      <c r="Q21" s="245"/>
      <c r="R21" s="375"/>
      <c r="S21" s="245"/>
    </row>
    <row r="22" spans="1:19" ht="19.5" thickBot="1" x14ac:dyDescent="0.3">
      <c r="B22" s="434"/>
      <c r="C22" s="45">
        <v>10</v>
      </c>
      <c r="D22" s="375"/>
      <c r="E22" s="245"/>
      <c r="F22" s="375"/>
      <c r="G22" s="245"/>
      <c r="H22" s="375"/>
      <c r="I22" s="245"/>
      <c r="J22" s="375"/>
      <c r="K22" s="245"/>
      <c r="L22" s="375"/>
      <c r="M22" s="245"/>
      <c r="N22" s="375"/>
      <c r="O22" s="245"/>
      <c r="P22" s="375"/>
      <c r="Q22" s="245"/>
      <c r="R22" s="375"/>
      <c r="S22" s="245"/>
    </row>
    <row r="23" spans="1:19" ht="19.5" thickBot="1" x14ac:dyDescent="0.3">
      <c r="B23" s="434"/>
      <c r="C23" s="45">
        <v>11</v>
      </c>
      <c r="D23" s="375"/>
      <c r="E23" s="245"/>
      <c r="F23" s="375"/>
      <c r="G23" s="245"/>
      <c r="H23" s="375"/>
      <c r="I23" s="245"/>
      <c r="J23" s="375"/>
      <c r="K23" s="245"/>
      <c r="L23" s="375"/>
      <c r="M23" s="245"/>
      <c r="N23" s="375"/>
      <c r="O23" s="245"/>
      <c r="P23" s="375"/>
      <c r="Q23" s="245"/>
      <c r="R23" s="375"/>
      <c r="S23" s="245"/>
    </row>
    <row r="24" spans="1:19" ht="19.5" thickBot="1" x14ac:dyDescent="0.3">
      <c r="B24" s="434"/>
      <c r="C24" s="45">
        <v>12</v>
      </c>
      <c r="D24" s="375"/>
      <c r="E24" s="245"/>
      <c r="F24" s="375"/>
      <c r="G24" s="245"/>
      <c r="H24" s="375"/>
      <c r="I24" s="245"/>
      <c r="J24" s="375"/>
      <c r="K24" s="245"/>
      <c r="L24" s="375"/>
      <c r="M24" s="245"/>
      <c r="N24" s="375"/>
      <c r="O24" s="245"/>
      <c r="P24" s="375"/>
      <c r="Q24" s="245"/>
      <c r="R24" s="375"/>
      <c r="S24" s="245"/>
    </row>
    <row r="25" spans="1:19" ht="19.5" thickBot="1" x14ac:dyDescent="0.3">
      <c r="B25" s="434"/>
      <c r="C25" s="45">
        <v>13</v>
      </c>
      <c r="D25" s="375"/>
      <c r="E25" s="245"/>
      <c r="F25" s="375"/>
      <c r="G25" s="245"/>
      <c r="H25" s="375"/>
      <c r="I25" s="245"/>
      <c r="J25" s="375"/>
      <c r="K25" s="245"/>
      <c r="L25" s="375"/>
      <c r="M25" s="245"/>
      <c r="N25" s="375"/>
      <c r="O25" s="245"/>
      <c r="P25" s="375"/>
      <c r="Q25" s="245"/>
      <c r="R25" s="375"/>
      <c r="S25" s="245"/>
    </row>
    <row r="26" spans="1:19" ht="19.5" thickBot="1" x14ac:dyDescent="0.3">
      <c r="B26" s="434"/>
      <c r="C26" s="45">
        <v>14</v>
      </c>
      <c r="D26" s="375"/>
      <c r="E26" s="245"/>
      <c r="F26" s="375"/>
      <c r="G26" s="245"/>
      <c r="H26" s="375"/>
      <c r="I26" s="245"/>
      <c r="J26" s="375"/>
      <c r="K26" s="245"/>
      <c r="L26" s="375"/>
      <c r="M26" s="245"/>
      <c r="N26" s="375"/>
      <c r="O26" s="245"/>
      <c r="P26" s="375"/>
      <c r="Q26" s="245"/>
      <c r="R26" s="375"/>
      <c r="S26" s="245"/>
    </row>
    <row r="27" spans="1:19" ht="19.5" thickBot="1" x14ac:dyDescent="0.3">
      <c r="B27" s="434"/>
      <c r="C27" s="45">
        <v>15</v>
      </c>
      <c r="D27" s="375"/>
      <c r="E27" s="245"/>
      <c r="F27" s="375"/>
      <c r="G27" s="245"/>
      <c r="H27" s="375"/>
      <c r="I27" s="245"/>
      <c r="J27" s="375"/>
      <c r="K27" s="245"/>
      <c r="L27" s="375"/>
      <c r="M27" s="245"/>
      <c r="N27" s="375"/>
      <c r="O27" s="245"/>
      <c r="P27" s="375"/>
      <c r="Q27" s="245"/>
      <c r="R27" s="375"/>
      <c r="S27" s="245"/>
    </row>
    <row r="28" spans="1:19" ht="19.5" thickBot="1" x14ac:dyDescent="0.3">
      <c r="B28" s="434"/>
      <c r="C28" s="45">
        <v>16</v>
      </c>
      <c r="D28" s="375"/>
      <c r="E28" s="245"/>
      <c r="F28" s="375"/>
      <c r="G28" s="245"/>
      <c r="H28" s="375"/>
      <c r="I28" s="245"/>
      <c r="J28" s="375"/>
      <c r="K28" s="245"/>
      <c r="L28" s="375"/>
      <c r="M28" s="245"/>
      <c r="N28" s="375"/>
      <c r="O28" s="245"/>
      <c r="P28" s="375"/>
      <c r="Q28" s="245"/>
      <c r="R28" s="375"/>
      <c r="S28" s="245"/>
    </row>
    <row r="29" spans="1:19" ht="19.5" thickBot="1" x14ac:dyDescent="0.3">
      <c r="B29" s="434"/>
      <c r="C29" s="45">
        <v>17</v>
      </c>
      <c r="D29" s="375"/>
      <c r="E29" s="245"/>
      <c r="F29" s="375"/>
      <c r="G29" s="245"/>
      <c r="H29" s="375"/>
      <c r="I29" s="245"/>
      <c r="J29" s="375"/>
      <c r="K29" s="245"/>
      <c r="L29" s="375"/>
      <c r="M29" s="245"/>
      <c r="N29" s="375"/>
      <c r="O29" s="245"/>
      <c r="P29" s="375"/>
      <c r="Q29" s="245"/>
      <c r="R29" s="375"/>
      <c r="S29" s="245"/>
    </row>
    <row r="30" spans="1:19" ht="19.5" thickBot="1" x14ac:dyDescent="0.3">
      <c r="A30" s="25"/>
      <c r="B30" s="434"/>
      <c r="C30" s="45">
        <v>18</v>
      </c>
      <c r="D30" s="375"/>
      <c r="E30" s="245"/>
      <c r="F30" s="375"/>
      <c r="G30" s="245"/>
      <c r="H30" s="375"/>
      <c r="I30" s="245"/>
      <c r="J30" s="375"/>
      <c r="K30" s="245"/>
      <c r="L30" s="375"/>
      <c r="M30" s="245"/>
      <c r="N30" s="375"/>
      <c r="O30" s="245"/>
      <c r="P30" s="375"/>
      <c r="Q30" s="245"/>
      <c r="R30" s="375"/>
      <c r="S30" s="245"/>
    </row>
    <row r="31" spans="1:19" ht="19.5" thickBot="1" x14ac:dyDescent="0.3">
      <c r="A31" s="25"/>
      <c r="B31" s="434"/>
      <c r="C31" s="45">
        <v>19</v>
      </c>
      <c r="D31" s="375"/>
      <c r="E31" s="245"/>
      <c r="F31" s="375"/>
      <c r="G31" s="245"/>
      <c r="H31" s="375"/>
      <c r="I31" s="245"/>
      <c r="J31" s="375"/>
      <c r="K31" s="245"/>
      <c r="L31" s="375"/>
      <c r="M31" s="245"/>
      <c r="N31" s="375"/>
      <c r="O31" s="245"/>
      <c r="P31" s="375"/>
      <c r="Q31" s="245"/>
      <c r="R31" s="375"/>
      <c r="S31" s="245"/>
    </row>
    <row r="32" spans="1:19" ht="19.5" thickBot="1" x14ac:dyDescent="0.3">
      <c r="A32" s="25"/>
      <c r="B32" s="434"/>
      <c r="C32" s="45">
        <v>20</v>
      </c>
      <c r="D32" s="375"/>
      <c r="E32" s="245"/>
      <c r="F32" s="375"/>
      <c r="G32" s="245"/>
      <c r="H32" s="375"/>
      <c r="I32" s="245"/>
      <c r="J32" s="375"/>
      <c r="K32" s="245"/>
      <c r="L32" s="375"/>
      <c r="M32" s="245"/>
      <c r="N32" s="375"/>
      <c r="O32" s="245"/>
      <c r="P32" s="375"/>
      <c r="Q32" s="245"/>
      <c r="R32" s="375"/>
      <c r="S32" s="245"/>
    </row>
    <row r="33" spans="1:19" ht="19.5" thickBot="1" x14ac:dyDescent="0.3">
      <c r="A33" s="25"/>
      <c r="B33" s="434"/>
      <c r="C33" s="45">
        <v>21</v>
      </c>
      <c r="D33" s="375"/>
      <c r="E33" s="245"/>
      <c r="F33" s="375"/>
      <c r="G33" s="245"/>
      <c r="H33" s="375"/>
      <c r="I33" s="245"/>
      <c r="J33" s="375"/>
      <c r="K33" s="245"/>
      <c r="L33" s="375"/>
      <c r="M33" s="245"/>
      <c r="N33" s="375"/>
      <c r="O33" s="245"/>
      <c r="P33" s="375"/>
      <c r="Q33" s="245"/>
      <c r="R33" s="375"/>
      <c r="S33" s="245"/>
    </row>
    <row r="34" spans="1:19" ht="19.5" thickBot="1" x14ac:dyDescent="0.3">
      <c r="A34" s="25"/>
      <c r="B34" s="434"/>
      <c r="C34" s="45">
        <v>22</v>
      </c>
      <c r="D34" s="375"/>
      <c r="E34" s="245"/>
      <c r="F34" s="375"/>
      <c r="G34" s="245"/>
      <c r="H34" s="375"/>
      <c r="I34" s="245"/>
      <c r="J34" s="375"/>
      <c r="K34" s="245"/>
      <c r="L34" s="375"/>
      <c r="M34" s="245"/>
      <c r="N34" s="375"/>
      <c r="O34" s="245"/>
      <c r="P34" s="375"/>
      <c r="Q34" s="245"/>
      <c r="R34" s="375"/>
      <c r="S34" s="245"/>
    </row>
    <row r="35" spans="1:19" ht="19.5" thickBot="1" x14ac:dyDescent="0.3">
      <c r="A35" s="25"/>
      <c r="B35" s="434"/>
      <c r="C35" s="45">
        <v>23</v>
      </c>
      <c r="D35" s="375"/>
      <c r="E35" s="245"/>
      <c r="F35" s="375"/>
      <c r="G35" s="245"/>
      <c r="H35" s="375"/>
      <c r="I35" s="245"/>
      <c r="J35" s="375"/>
      <c r="K35" s="245"/>
      <c r="L35" s="375"/>
      <c r="M35" s="245"/>
      <c r="N35" s="375"/>
      <c r="O35" s="245"/>
      <c r="P35" s="375"/>
      <c r="Q35" s="245"/>
      <c r="R35" s="375"/>
      <c r="S35" s="245"/>
    </row>
    <row r="36" spans="1:19" ht="19.5" thickBot="1" x14ac:dyDescent="0.3">
      <c r="A36" s="25"/>
      <c r="B36" s="434"/>
      <c r="C36" s="45">
        <v>24</v>
      </c>
      <c r="D36" s="375"/>
      <c r="E36" s="245"/>
      <c r="F36" s="375"/>
      <c r="G36" s="245"/>
      <c r="H36" s="375"/>
      <c r="I36" s="245"/>
      <c r="J36" s="375"/>
      <c r="K36" s="245"/>
      <c r="L36" s="375"/>
      <c r="M36" s="245"/>
      <c r="N36" s="375"/>
      <c r="O36" s="245"/>
      <c r="P36" s="375"/>
      <c r="Q36" s="245"/>
      <c r="R36" s="375"/>
      <c r="S36" s="245"/>
    </row>
    <row r="37" spans="1:19" ht="19.5" thickBot="1" x14ac:dyDescent="0.3">
      <c r="B37" s="434"/>
      <c r="C37" s="45">
        <v>25</v>
      </c>
      <c r="D37" s="375"/>
      <c r="E37" s="245"/>
      <c r="F37" s="375"/>
      <c r="G37" s="245"/>
      <c r="H37" s="375"/>
      <c r="I37" s="245"/>
      <c r="J37" s="375"/>
      <c r="K37" s="245"/>
      <c r="L37" s="375"/>
      <c r="M37" s="245"/>
      <c r="N37" s="375"/>
      <c r="O37" s="245"/>
      <c r="P37" s="375"/>
      <c r="Q37" s="245"/>
      <c r="R37" s="375"/>
      <c r="S37" s="245"/>
    </row>
    <row r="38" spans="1:19" ht="19.5" thickBot="1" x14ac:dyDescent="0.3">
      <c r="B38" s="434"/>
      <c r="C38" s="45">
        <v>26</v>
      </c>
      <c r="D38" s="375"/>
      <c r="E38" s="245"/>
      <c r="F38" s="375"/>
      <c r="G38" s="245"/>
      <c r="H38" s="375"/>
      <c r="I38" s="245"/>
      <c r="J38" s="375"/>
      <c r="K38" s="245"/>
      <c r="L38" s="375"/>
      <c r="M38" s="245"/>
      <c r="N38" s="375"/>
      <c r="O38" s="245"/>
      <c r="P38" s="375"/>
      <c r="Q38" s="245"/>
      <c r="R38" s="375"/>
      <c r="S38" s="245"/>
    </row>
    <row r="39" spans="1:19" ht="19.5" thickBot="1" x14ac:dyDescent="0.3">
      <c r="B39" s="434"/>
      <c r="C39" s="45">
        <v>27</v>
      </c>
      <c r="D39" s="375"/>
      <c r="E39" s="245"/>
      <c r="F39" s="375"/>
      <c r="G39" s="245"/>
      <c r="H39" s="375"/>
      <c r="I39" s="245"/>
      <c r="J39" s="375"/>
      <c r="K39" s="245"/>
      <c r="L39" s="375"/>
      <c r="M39" s="245"/>
      <c r="N39" s="375"/>
      <c r="O39" s="245"/>
      <c r="P39" s="375"/>
      <c r="Q39" s="245"/>
      <c r="R39" s="375"/>
      <c r="S39" s="245"/>
    </row>
    <row r="40" spans="1:19" ht="19.5" thickBot="1" x14ac:dyDescent="0.3">
      <c r="B40" s="434"/>
      <c r="C40" s="45">
        <v>28</v>
      </c>
      <c r="D40" s="375"/>
      <c r="E40" s="245"/>
      <c r="F40" s="375"/>
      <c r="G40" s="245"/>
      <c r="H40" s="375"/>
      <c r="I40" s="245"/>
      <c r="J40" s="375"/>
      <c r="K40" s="245"/>
      <c r="L40" s="375"/>
      <c r="M40" s="245"/>
      <c r="N40" s="375"/>
      <c r="O40" s="245"/>
      <c r="P40" s="375"/>
      <c r="Q40" s="245"/>
      <c r="R40" s="375"/>
      <c r="S40" s="245"/>
    </row>
    <row r="41" spans="1:19" ht="19.5" thickBot="1" x14ac:dyDescent="0.3">
      <c r="B41" s="434"/>
      <c r="C41" s="45">
        <v>29</v>
      </c>
      <c r="D41" s="375"/>
      <c r="E41" s="245"/>
      <c r="F41" s="375"/>
      <c r="G41" s="245"/>
      <c r="H41" s="375"/>
      <c r="I41" s="245"/>
      <c r="J41" s="375"/>
      <c r="K41" s="245"/>
      <c r="L41" s="375"/>
      <c r="M41" s="245"/>
      <c r="N41" s="375"/>
      <c r="O41" s="245"/>
      <c r="P41" s="375"/>
      <c r="Q41" s="245"/>
      <c r="R41" s="375"/>
      <c r="S41" s="245"/>
    </row>
    <row r="42" spans="1:19" ht="19.5" thickBot="1" x14ac:dyDescent="0.3">
      <c r="B42" s="434"/>
      <c r="C42" s="45">
        <v>30</v>
      </c>
      <c r="D42" s="375"/>
      <c r="E42" s="245"/>
      <c r="F42" s="375"/>
      <c r="G42" s="245"/>
      <c r="H42" s="375"/>
      <c r="I42" s="245"/>
      <c r="J42" s="375"/>
      <c r="K42" s="245"/>
      <c r="L42" s="375"/>
      <c r="M42" s="245"/>
      <c r="N42" s="375"/>
      <c r="O42" s="245"/>
      <c r="P42" s="375"/>
      <c r="Q42" s="245"/>
      <c r="R42" s="375"/>
      <c r="S42" s="245"/>
    </row>
    <row r="43" spans="1:19" ht="19.5" thickBot="1" x14ac:dyDescent="0.3">
      <c r="B43" s="434"/>
      <c r="C43" s="50">
        <v>31</v>
      </c>
      <c r="D43" s="375"/>
      <c r="E43" s="245"/>
      <c r="F43" s="375"/>
      <c r="G43" s="245"/>
      <c r="H43" s="375"/>
      <c r="I43" s="245"/>
      <c r="J43" s="375"/>
      <c r="K43" s="245"/>
      <c r="L43" s="375"/>
      <c r="M43" s="245"/>
      <c r="N43" s="375"/>
      <c r="O43" s="245"/>
      <c r="P43" s="375"/>
      <c r="Q43" s="245"/>
      <c r="R43" s="375"/>
      <c r="S43" s="245"/>
    </row>
    <row r="44" spans="1:19" ht="15" customHeight="1" x14ac:dyDescent="0.25">
      <c r="B44" s="191" t="s">
        <v>205</v>
      </c>
      <c r="C44" s="192"/>
      <c r="D44" s="192"/>
      <c r="E44" s="192"/>
      <c r="F44" s="192"/>
      <c r="G44" s="192"/>
      <c r="H44" s="192"/>
      <c r="I44" s="192"/>
      <c r="J44" s="193"/>
      <c r="K44" s="191" t="s">
        <v>199</v>
      </c>
      <c r="L44" s="192"/>
      <c r="M44" s="192"/>
      <c r="N44" s="192"/>
      <c r="O44" s="192"/>
      <c r="P44" s="192"/>
      <c r="Q44" s="192"/>
      <c r="R44" s="192"/>
      <c r="S44" s="193"/>
    </row>
    <row r="45" spans="1:19" ht="15" customHeight="1" x14ac:dyDescent="0.25">
      <c r="B45" s="194"/>
      <c r="C45" s="195"/>
      <c r="D45" s="195"/>
      <c r="E45" s="195"/>
      <c r="F45" s="195"/>
      <c r="G45" s="195"/>
      <c r="H45" s="195"/>
      <c r="I45" s="195"/>
      <c r="J45" s="196"/>
      <c r="K45" s="194"/>
      <c r="L45" s="195"/>
      <c r="M45" s="195"/>
      <c r="N45" s="195"/>
      <c r="O45" s="195"/>
      <c r="P45" s="195"/>
      <c r="Q45" s="195"/>
      <c r="R45" s="195"/>
      <c r="S45" s="196"/>
    </row>
    <row r="46" spans="1:19" ht="15" customHeight="1" x14ac:dyDescent="0.25">
      <c r="B46" s="194"/>
      <c r="C46" s="195"/>
      <c r="D46" s="195"/>
      <c r="E46" s="195"/>
      <c r="F46" s="195"/>
      <c r="G46" s="195"/>
      <c r="H46" s="195"/>
      <c r="I46" s="195"/>
      <c r="J46" s="196"/>
      <c r="K46" s="194"/>
      <c r="L46" s="195"/>
      <c r="M46" s="195"/>
      <c r="N46" s="195"/>
      <c r="O46" s="195"/>
      <c r="P46" s="195"/>
      <c r="Q46" s="195"/>
      <c r="R46" s="195"/>
      <c r="S46" s="196"/>
    </row>
    <row r="47" spans="1:19" x14ac:dyDescent="0.25">
      <c r="B47" s="194"/>
      <c r="C47" s="195"/>
      <c r="D47" s="195"/>
      <c r="E47" s="195"/>
      <c r="F47" s="195"/>
      <c r="G47" s="195"/>
      <c r="H47" s="195"/>
      <c r="I47" s="195"/>
      <c r="J47" s="196"/>
      <c r="K47" s="194"/>
      <c r="L47" s="195"/>
      <c r="M47" s="195"/>
      <c r="N47" s="195"/>
      <c r="O47" s="195"/>
      <c r="P47" s="195"/>
      <c r="Q47" s="195"/>
      <c r="R47" s="195"/>
      <c r="S47" s="196"/>
    </row>
    <row r="48" spans="1:19" x14ac:dyDescent="0.25">
      <c r="B48" s="194"/>
      <c r="C48" s="195"/>
      <c r="D48" s="195"/>
      <c r="E48" s="195"/>
      <c r="F48" s="195"/>
      <c r="G48" s="195"/>
      <c r="H48" s="195"/>
      <c r="I48" s="195"/>
      <c r="J48" s="196"/>
      <c r="K48" s="194"/>
      <c r="L48" s="195"/>
      <c r="M48" s="195"/>
      <c r="N48" s="195"/>
      <c r="O48" s="195"/>
      <c r="P48" s="195"/>
      <c r="Q48" s="195"/>
      <c r="R48" s="195"/>
      <c r="S48" s="196"/>
    </row>
    <row r="49" spans="2:19" ht="15.75" thickBot="1" x14ac:dyDescent="0.3">
      <c r="B49" s="197"/>
      <c r="C49" s="198"/>
      <c r="D49" s="198"/>
      <c r="E49" s="198"/>
      <c r="F49" s="198"/>
      <c r="G49" s="198"/>
      <c r="H49" s="198"/>
      <c r="I49" s="198"/>
      <c r="J49" s="199"/>
      <c r="K49" s="197"/>
      <c r="L49" s="198"/>
      <c r="M49" s="198"/>
      <c r="N49" s="198"/>
      <c r="O49" s="198"/>
      <c r="P49" s="198"/>
      <c r="Q49" s="198"/>
      <c r="R49" s="198"/>
      <c r="S49" s="199"/>
    </row>
  </sheetData>
  <mergeCells count="295">
    <mergeCell ref="P43:Q43"/>
    <mergeCell ref="R43:S43"/>
    <mergeCell ref="B44:J49"/>
    <mergeCell ref="K44:S49"/>
    <mergeCell ref="D43:E43"/>
    <mergeCell ref="F43:G43"/>
    <mergeCell ref="H43:I43"/>
    <mergeCell ref="J43:K43"/>
    <mergeCell ref="L43:M43"/>
    <mergeCell ref="N43:O43"/>
    <mergeCell ref="B13:B43"/>
    <mergeCell ref="D13:E13"/>
    <mergeCell ref="F13:G13"/>
    <mergeCell ref="H13:I13"/>
    <mergeCell ref="J13:K13"/>
    <mergeCell ref="L13:M13"/>
    <mergeCell ref="N13:O13"/>
    <mergeCell ref="P13:Q13"/>
    <mergeCell ref="R13:S13"/>
    <mergeCell ref="D14:E14"/>
    <mergeCell ref="F14:G14"/>
    <mergeCell ref="H14:I14"/>
    <mergeCell ref="J14:K14"/>
    <mergeCell ref="L14:M14"/>
    <mergeCell ref="P41:Q41"/>
    <mergeCell ref="R41:S41"/>
    <mergeCell ref="D42:E42"/>
    <mergeCell ref="F42:G42"/>
    <mergeCell ref="H42:I42"/>
    <mergeCell ref="J42:K42"/>
    <mergeCell ref="L42:M42"/>
    <mergeCell ref="N42:O42"/>
    <mergeCell ref="P42:Q42"/>
    <mergeCell ref="R42:S42"/>
    <mergeCell ref="D41:E41"/>
    <mergeCell ref="F41:G41"/>
    <mergeCell ref="H41:I41"/>
    <mergeCell ref="J41:K41"/>
    <mergeCell ref="L41:M41"/>
    <mergeCell ref="N41:O41"/>
    <mergeCell ref="P39:Q39"/>
    <mergeCell ref="R39:S39"/>
    <mergeCell ref="D40:E40"/>
    <mergeCell ref="F40:G40"/>
    <mergeCell ref="H40:I40"/>
    <mergeCell ref="J40:K40"/>
    <mergeCell ref="L40:M40"/>
    <mergeCell ref="N40:O40"/>
    <mergeCell ref="P40:Q40"/>
    <mergeCell ref="R40:S40"/>
    <mergeCell ref="D39:E39"/>
    <mergeCell ref="F39:G39"/>
    <mergeCell ref="H39:I39"/>
    <mergeCell ref="J39:K39"/>
    <mergeCell ref="L39:M39"/>
    <mergeCell ref="N39:O39"/>
    <mergeCell ref="P37:Q37"/>
    <mergeCell ref="R37:S37"/>
    <mergeCell ref="D38:E38"/>
    <mergeCell ref="F38:G38"/>
    <mergeCell ref="H38:I38"/>
    <mergeCell ref="J38:K38"/>
    <mergeCell ref="L38:M38"/>
    <mergeCell ref="N38:O38"/>
    <mergeCell ref="P38:Q38"/>
    <mergeCell ref="R38:S38"/>
    <mergeCell ref="D37:E37"/>
    <mergeCell ref="F37:G37"/>
    <mergeCell ref="H37:I37"/>
    <mergeCell ref="J37:K37"/>
    <mergeCell ref="L37:M37"/>
    <mergeCell ref="N37:O37"/>
    <mergeCell ref="P35:Q35"/>
    <mergeCell ref="R35:S35"/>
    <mergeCell ref="D36:E36"/>
    <mergeCell ref="F36:G36"/>
    <mergeCell ref="H36:I36"/>
    <mergeCell ref="J36:K36"/>
    <mergeCell ref="L36:M36"/>
    <mergeCell ref="N36:O36"/>
    <mergeCell ref="P36:Q36"/>
    <mergeCell ref="R36:S36"/>
    <mergeCell ref="D35:E35"/>
    <mergeCell ref="F35:G35"/>
    <mergeCell ref="H35:I35"/>
    <mergeCell ref="J35:K35"/>
    <mergeCell ref="L35:M35"/>
    <mergeCell ref="N35:O35"/>
    <mergeCell ref="P33:Q33"/>
    <mergeCell ref="R33:S33"/>
    <mergeCell ref="D34:E34"/>
    <mergeCell ref="F34:G34"/>
    <mergeCell ref="H34:I34"/>
    <mergeCell ref="J34:K34"/>
    <mergeCell ref="L34:M34"/>
    <mergeCell ref="N34:O34"/>
    <mergeCell ref="P34:Q34"/>
    <mergeCell ref="R34:S34"/>
    <mergeCell ref="D33:E33"/>
    <mergeCell ref="F33:G33"/>
    <mergeCell ref="H33:I33"/>
    <mergeCell ref="J33:K33"/>
    <mergeCell ref="L33:M33"/>
    <mergeCell ref="N33:O33"/>
    <mergeCell ref="P31:Q31"/>
    <mergeCell ref="R31:S31"/>
    <mergeCell ref="D32:E32"/>
    <mergeCell ref="F32:G32"/>
    <mergeCell ref="H32:I32"/>
    <mergeCell ref="J32:K32"/>
    <mergeCell ref="L32:M32"/>
    <mergeCell ref="N32:O32"/>
    <mergeCell ref="P32:Q32"/>
    <mergeCell ref="R32:S32"/>
    <mergeCell ref="D31:E31"/>
    <mergeCell ref="F31:G31"/>
    <mergeCell ref="H31:I31"/>
    <mergeCell ref="J31:K31"/>
    <mergeCell ref="L31:M31"/>
    <mergeCell ref="N31:O31"/>
    <mergeCell ref="P29:Q29"/>
    <mergeCell ref="R29:S29"/>
    <mergeCell ref="D30:E30"/>
    <mergeCell ref="F30:G30"/>
    <mergeCell ref="H30:I30"/>
    <mergeCell ref="J30:K30"/>
    <mergeCell ref="L30:M30"/>
    <mergeCell ref="N30:O30"/>
    <mergeCell ref="P30:Q30"/>
    <mergeCell ref="R30:S30"/>
    <mergeCell ref="D29:E29"/>
    <mergeCell ref="F29:G29"/>
    <mergeCell ref="H29:I29"/>
    <mergeCell ref="J29:K29"/>
    <mergeCell ref="L29:M29"/>
    <mergeCell ref="N29:O29"/>
    <mergeCell ref="P27:Q27"/>
    <mergeCell ref="R27:S27"/>
    <mergeCell ref="D28:E28"/>
    <mergeCell ref="F28:G28"/>
    <mergeCell ref="H28:I28"/>
    <mergeCell ref="J28:K28"/>
    <mergeCell ref="L28:M28"/>
    <mergeCell ref="N28:O28"/>
    <mergeCell ref="P28:Q28"/>
    <mergeCell ref="R28:S28"/>
    <mergeCell ref="D27:E27"/>
    <mergeCell ref="F27:G27"/>
    <mergeCell ref="H27:I27"/>
    <mergeCell ref="J27:K27"/>
    <mergeCell ref="L27:M27"/>
    <mergeCell ref="N27:O27"/>
    <mergeCell ref="P25:Q25"/>
    <mergeCell ref="R25:S25"/>
    <mergeCell ref="D26:E26"/>
    <mergeCell ref="F26:G26"/>
    <mergeCell ref="H26:I26"/>
    <mergeCell ref="J26:K26"/>
    <mergeCell ref="L26:M26"/>
    <mergeCell ref="N26:O26"/>
    <mergeCell ref="P26:Q26"/>
    <mergeCell ref="R26:S26"/>
    <mergeCell ref="D25:E25"/>
    <mergeCell ref="F25:G25"/>
    <mergeCell ref="H25:I25"/>
    <mergeCell ref="J25:K25"/>
    <mergeCell ref="L25:M25"/>
    <mergeCell ref="N25:O25"/>
    <mergeCell ref="P23:Q23"/>
    <mergeCell ref="R23:S23"/>
    <mergeCell ref="D24:E24"/>
    <mergeCell ref="F24:G24"/>
    <mergeCell ref="H24:I24"/>
    <mergeCell ref="J24:K24"/>
    <mergeCell ref="L24:M24"/>
    <mergeCell ref="N24:O24"/>
    <mergeCell ref="P24:Q24"/>
    <mergeCell ref="R24:S24"/>
    <mergeCell ref="D23:E23"/>
    <mergeCell ref="F23:G23"/>
    <mergeCell ref="H23:I23"/>
    <mergeCell ref="J23:K23"/>
    <mergeCell ref="L23:M23"/>
    <mergeCell ref="N23:O23"/>
    <mergeCell ref="P21:Q21"/>
    <mergeCell ref="R21:S21"/>
    <mergeCell ref="D22:E22"/>
    <mergeCell ref="F22:G22"/>
    <mergeCell ref="H22:I22"/>
    <mergeCell ref="J22:K22"/>
    <mergeCell ref="L22:M22"/>
    <mergeCell ref="N22:O22"/>
    <mergeCell ref="P22:Q22"/>
    <mergeCell ref="R22:S22"/>
    <mergeCell ref="D21:E21"/>
    <mergeCell ref="F21:G21"/>
    <mergeCell ref="H21:I21"/>
    <mergeCell ref="J21:K21"/>
    <mergeCell ref="L21:M21"/>
    <mergeCell ref="N21:O21"/>
    <mergeCell ref="P19:Q19"/>
    <mergeCell ref="R19:S19"/>
    <mergeCell ref="D20:E20"/>
    <mergeCell ref="F20:G20"/>
    <mergeCell ref="H20:I20"/>
    <mergeCell ref="J20:K20"/>
    <mergeCell ref="L20:M20"/>
    <mergeCell ref="N20:O20"/>
    <mergeCell ref="P20:Q20"/>
    <mergeCell ref="R20:S20"/>
    <mergeCell ref="D19:E19"/>
    <mergeCell ref="F19:G19"/>
    <mergeCell ref="H19:I19"/>
    <mergeCell ref="J19:K19"/>
    <mergeCell ref="L19:M19"/>
    <mergeCell ref="N19:O19"/>
    <mergeCell ref="P17:Q17"/>
    <mergeCell ref="R17:S17"/>
    <mergeCell ref="D18:E18"/>
    <mergeCell ref="F18:G18"/>
    <mergeCell ref="H18:I18"/>
    <mergeCell ref="J18:K18"/>
    <mergeCell ref="L18:M18"/>
    <mergeCell ref="N18:O18"/>
    <mergeCell ref="P18:Q18"/>
    <mergeCell ref="R18:S18"/>
    <mergeCell ref="D17:E17"/>
    <mergeCell ref="F17:G17"/>
    <mergeCell ref="H17:I17"/>
    <mergeCell ref="J17:K17"/>
    <mergeCell ref="L17:M17"/>
    <mergeCell ref="N17:O17"/>
    <mergeCell ref="N14:O14"/>
    <mergeCell ref="P14:Q14"/>
    <mergeCell ref="R14:S14"/>
    <mergeCell ref="P15:Q15"/>
    <mergeCell ref="R15:S15"/>
    <mergeCell ref="D16:E16"/>
    <mergeCell ref="F16:G16"/>
    <mergeCell ref="H16:I16"/>
    <mergeCell ref="J16:K16"/>
    <mergeCell ref="L16:M16"/>
    <mergeCell ref="N16:O16"/>
    <mergeCell ref="P16:Q16"/>
    <mergeCell ref="R16:S16"/>
    <mergeCell ref="D15:E15"/>
    <mergeCell ref="F15:G15"/>
    <mergeCell ref="H15:I15"/>
    <mergeCell ref="J15:K15"/>
    <mergeCell ref="L15:M15"/>
    <mergeCell ref="N15:O15"/>
    <mergeCell ref="P11:S11"/>
    <mergeCell ref="D12:E12"/>
    <mergeCell ref="F12:G12"/>
    <mergeCell ref="H12:I12"/>
    <mergeCell ref="J12:K12"/>
    <mergeCell ref="L12:M12"/>
    <mergeCell ref="N12:O12"/>
    <mergeCell ref="P12:Q12"/>
    <mergeCell ref="R12:S12"/>
    <mergeCell ref="B6:C11"/>
    <mergeCell ref="D6:G6"/>
    <mergeCell ref="H6:K6"/>
    <mergeCell ref="L6:O6"/>
    <mergeCell ref="P6:S6"/>
    <mergeCell ref="D7:G7"/>
    <mergeCell ref="H7:K7"/>
    <mergeCell ref="D9:G9"/>
    <mergeCell ref="H9:K9"/>
    <mergeCell ref="L9:O9"/>
    <mergeCell ref="P9:S9"/>
    <mergeCell ref="D10:G10"/>
    <mergeCell ref="H10:K10"/>
    <mergeCell ref="L10:O10"/>
    <mergeCell ref="P10:S10"/>
    <mergeCell ref="L7:O7"/>
    <mergeCell ref="P7:S7"/>
    <mergeCell ref="D8:G8"/>
    <mergeCell ref="H8:K8"/>
    <mergeCell ref="L8:O8"/>
    <mergeCell ref="P8:S8"/>
    <mergeCell ref="D11:G11"/>
    <mergeCell ref="H11:K11"/>
    <mergeCell ref="L11:O11"/>
    <mergeCell ref="B1:C1"/>
    <mergeCell ref="D1:N1"/>
    <mergeCell ref="O1:S1"/>
    <mergeCell ref="B2:S2"/>
    <mergeCell ref="B3:S3"/>
    <mergeCell ref="C4:L4"/>
    <mergeCell ref="M4:N4"/>
    <mergeCell ref="O4:S4"/>
    <mergeCell ref="C5:L5"/>
    <mergeCell ref="M5:N5"/>
    <mergeCell ref="O5:S5"/>
  </mergeCells>
  <pageMargins left="0.25" right="0.25" top="0.75" bottom="0.75" header="0.3" footer="0.3"/>
  <pageSetup scale="73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B050"/>
    <pageSetUpPr fitToPage="1"/>
  </sheetPr>
  <dimension ref="A1:T49"/>
  <sheetViews>
    <sheetView zoomScaleNormal="100" workbookViewId="0">
      <selection activeCell="W21" sqref="W21"/>
    </sheetView>
  </sheetViews>
  <sheetFormatPr baseColWidth="10" defaultRowHeight="15" x14ac:dyDescent="0.25"/>
  <cols>
    <col min="1" max="1" width="2.5703125" style="2" customWidth="1"/>
    <col min="2" max="2" width="13.7109375" style="2" customWidth="1"/>
    <col min="3" max="3" width="5.28515625" style="2" bestFit="1" customWidth="1"/>
    <col min="4" max="4" width="5.7109375" style="2" customWidth="1"/>
    <col min="5" max="5" width="4.42578125" style="2" customWidth="1"/>
    <col min="6" max="19" width="5.7109375" style="2" customWidth="1"/>
    <col min="20" max="20" width="0" hidden="1" customWidth="1"/>
  </cols>
  <sheetData>
    <row r="1" spans="2:20" ht="77.25" customHeight="1" thickBot="1" x14ac:dyDescent="0.3">
      <c r="B1" s="452"/>
      <c r="C1" s="373"/>
      <c r="D1" s="453" t="s">
        <v>206</v>
      </c>
      <c r="E1" s="456"/>
      <c r="F1" s="456"/>
      <c r="G1" s="456"/>
      <c r="H1" s="456"/>
      <c r="I1" s="456"/>
      <c r="J1" s="456"/>
      <c r="K1" s="456"/>
      <c r="L1" s="456"/>
      <c r="M1" s="456"/>
      <c r="N1" s="457"/>
      <c r="O1" s="370"/>
      <c r="P1" s="371"/>
      <c r="Q1" s="371"/>
      <c r="R1" s="371"/>
      <c r="S1" s="372"/>
    </row>
    <row r="2" spans="2:20" ht="15.75" thickBot="1" x14ac:dyDescent="0.3">
      <c r="B2" s="375" t="s">
        <v>72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5"/>
    </row>
    <row r="3" spans="2:20" ht="15.75" thickBot="1" x14ac:dyDescent="0.3">
      <c r="B3" s="375" t="s">
        <v>136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5"/>
    </row>
    <row r="4" spans="2:20" x14ac:dyDescent="0.25">
      <c r="B4" s="26" t="s">
        <v>58</v>
      </c>
      <c r="C4" s="247" t="s">
        <v>96</v>
      </c>
      <c r="D4" s="247"/>
      <c r="E4" s="247"/>
      <c r="F4" s="247"/>
      <c r="G4" s="247"/>
      <c r="H4" s="247"/>
      <c r="I4" s="247"/>
      <c r="J4" s="247"/>
      <c r="K4" s="247"/>
      <c r="L4" s="449"/>
      <c r="M4" s="450" t="s">
        <v>5</v>
      </c>
      <c r="N4" s="451"/>
      <c r="O4" s="247" t="s">
        <v>224</v>
      </c>
      <c r="P4" s="247"/>
      <c r="Q4" s="247"/>
      <c r="R4" s="247"/>
      <c r="S4" s="449"/>
    </row>
    <row r="5" spans="2:20" ht="15.75" thickBot="1" x14ac:dyDescent="0.3">
      <c r="B5" s="27" t="s">
        <v>4</v>
      </c>
      <c r="C5" s="438" t="s">
        <v>222</v>
      </c>
      <c r="D5" s="439"/>
      <c r="E5" s="439"/>
      <c r="F5" s="439"/>
      <c r="G5" s="439"/>
      <c r="H5" s="439"/>
      <c r="I5" s="439"/>
      <c r="J5" s="439"/>
      <c r="K5" s="439"/>
      <c r="L5" s="440"/>
      <c r="M5" s="441" t="s">
        <v>73</v>
      </c>
      <c r="N5" s="442"/>
      <c r="O5" s="443"/>
      <c r="P5" s="443"/>
      <c r="Q5" s="443"/>
      <c r="R5" s="443"/>
      <c r="S5" s="444"/>
    </row>
    <row r="6" spans="2:20" ht="15.75" thickBot="1" x14ac:dyDescent="0.3">
      <c r="B6" s="337"/>
      <c r="C6" s="338"/>
      <c r="D6" s="436" t="s">
        <v>74</v>
      </c>
      <c r="E6" s="460"/>
      <c r="F6" s="460"/>
      <c r="G6" s="437"/>
      <c r="H6" s="436" t="s">
        <v>74</v>
      </c>
      <c r="I6" s="460"/>
      <c r="J6" s="460"/>
      <c r="K6" s="437"/>
      <c r="L6" s="436" t="s">
        <v>74</v>
      </c>
      <c r="M6" s="460"/>
      <c r="N6" s="460"/>
      <c r="O6" s="437"/>
      <c r="P6" s="436" t="s">
        <v>74</v>
      </c>
      <c r="Q6" s="460"/>
      <c r="R6" s="460"/>
      <c r="S6" s="437"/>
    </row>
    <row r="7" spans="2:20" ht="15.75" thickBot="1" x14ac:dyDescent="0.3">
      <c r="B7" s="445"/>
      <c r="C7" s="446"/>
      <c r="D7" s="418" t="s">
        <v>220</v>
      </c>
      <c r="E7" s="419"/>
      <c r="F7" s="419"/>
      <c r="G7" s="435"/>
      <c r="H7" s="418"/>
      <c r="I7" s="419"/>
      <c r="J7" s="419"/>
      <c r="K7" s="435"/>
      <c r="L7" s="418"/>
      <c r="M7" s="419"/>
      <c r="N7" s="419"/>
      <c r="O7" s="419"/>
      <c r="P7" s="418"/>
      <c r="Q7" s="419"/>
      <c r="R7" s="419"/>
      <c r="S7" s="435"/>
    </row>
    <row r="8" spans="2:20" ht="15.75" thickBot="1" x14ac:dyDescent="0.3">
      <c r="B8" s="445"/>
      <c r="C8" s="446"/>
      <c r="D8" s="436" t="s">
        <v>75</v>
      </c>
      <c r="E8" s="460"/>
      <c r="F8" s="460"/>
      <c r="G8" s="437"/>
      <c r="H8" s="418" t="s">
        <v>76</v>
      </c>
      <c r="I8" s="419"/>
      <c r="J8" s="419"/>
      <c r="K8" s="435"/>
      <c r="L8" s="418" t="s">
        <v>76</v>
      </c>
      <c r="M8" s="419"/>
      <c r="N8" s="419"/>
      <c r="O8" s="435"/>
      <c r="P8" s="418" t="s">
        <v>76</v>
      </c>
      <c r="Q8" s="419"/>
      <c r="R8" s="419"/>
      <c r="S8" s="435"/>
    </row>
    <row r="9" spans="2:20" ht="15.75" thickBot="1" x14ac:dyDescent="0.3">
      <c r="B9" s="445"/>
      <c r="C9" s="446"/>
      <c r="D9" s="418" t="s">
        <v>221</v>
      </c>
      <c r="E9" s="419"/>
      <c r="F9" s="419"/>
      <c r="G9" s="435"/>
      <c r="H9" s="418"/>
      <c r="I9" s="419"/>
      <c r="J9" s="419"/>
      <c r="K9" s="435"/>
      <c r="L9" s="418"/>
      <c r="M9" s="419"/>
      <c r="N9" s="419"/>
      <c r="O9" s="435"/>
      <c r="P9" s="418"/>
      <c r="Q9" s="419"/>
      <c r="R9" s="419"/>
      <c r="S9" s="435"/>
    </row>
    <row r="10" spans="2:20" ht="15.75" thickBot="1" x14ac:dyDescent="0.3">
      <c r="B10" s="445"/>
      <c r="C10" s="446"/>
      <c r="D10" s="436" t="s">
        <v>69</v>
      </c>
      <c r="E10" s="460"/>
      <c r="F10" s="460"/>
      <c r="G10" s="437"/>
      <c r="H10" s="418" t="s">
        <v>69</v>
      </c>
      <c r="I10" s="419"/>
      <c r="J10" s="419"/>
      <c r="K10" s="435"/>
      <c r="L10" s="418" t="s">
        <v>69</v>
      </c>
      <c r="M10" s="419"/>
      <c r="N10" s="419"/>
      <c r="O10" s="435"/>
      <c r="P10" s="418" t="s">
        <v>69</v>
      </c>
      <c r="Q10" s="419"/>
      <c r="R10" s="419"/>
      <c r="S10" s="435"/>
    </row>
    <row r="11" spans="2:20" ht="15.75" thickBot="1" x14ac:dyDescent="0.3">
      <c r="B11" s="447"/>
      <c r="C11" s="448"/>
      <c r="D11" s="418" t="s">
        <v>95</v>
      </c>
      <c r="E11" s="419"/>
      <c r="F11" s="419"/>
      <c r="G11" s="435"/>
      <c r="H11" s="418"/>
      <c r="I11" s="419"/>
      <c r="J11" s="419"/>
      <c r="K11" s="435"/>
      <c r="L11" s="418"/>
      <c r="M11" s="419"/>
      <c r="N11" s="419"/>
      <c r="O11" s="435"/>
      <c r="P11" s="418"/>
      <c r="Q11" s="419"/>
      <c r="R11" s="419"/>
      <c r="S11" s="435"/>
    </row>
    <row r="12" spans="2:20" ht="15.75" thickBot="1" x14ac:dyDescent="0.3">
      <c r="B12" s="28" t="s">
        <v>77</v>
      </c>
      <c r="C12" s="29" t="s">
        <v>78</v>
      </c>
      <c r="D12" s="375" t="s">
        <v>14</v>
      </c>
      <c r="E12" s="245"/>
      <c r="F12" s="461" t="s">
        <v>15</v>
      </c>
      <c r="G12" s="462"/>
      <c r="H12" s="461" t="s">
        <v>14</v>
      </c>
      <c r="I12" s="462"/>
      <c r="J12" s="461" t="s">
        <v>15</v>
      </c>
      <c r="K12" s="462"/>
      <c r="L12" s="461" t="s">
        <v>14</v>
      </c>
      <c r="M12" s="462"/>
      <c r="N12" s="461" t="s">
        <v>15</v>
      </c>
      <c r="O12" s="462"/>
      <c r="P12" s="461" t="s">
        <v>14</v>
      </c>
      <c r="Q12" s="462"/>
      <c r="R12" s="461" t="s">
        <v>15</v>
      </c>
      <c r="S12" s="462"/>
    </row>
    <row r="13" spans="2:20" ht="19.5" thickBot="1" x14ac:dyDescent="0.3">
      <c r="B13" s="433" t="s">
        <v>204</v>
      </c>
      <c r="C13" s="37">
        <v>1</v>
      </c>
      <c r="D13" s="375"/>
      <c r="E13" s="245"/>
      <c r="F13" s="375"/>
      <c r="G13" s="245"/>
      <c r="H13" s="375"/>
      <c r="I13" s="245"/>
      <c r="J13" s="375"/>
      <c r="K13" s="245"/>
      <c r="L13" s="375"/>
      <c r="M13" s="245"/>
      <c r="N13" s="375"/>
      <c r="O13" s="245"/>
      <c r="P13" s="375"/>
      <c r="Q13" s="245"/>
      <c r="R13" s="375"/>
      <c r="S13" s="245"/>
      <c r="T13" t="s">
        <v>223</v>
      </c>
    </row>
    <row r="14" spans="2:20" ht="19.5" thickBot="1" x14ac:dyDescent="0.3">
      <c r="B14" s="434"/>
      <c r="C14" s="45">
        <v>2</v>
      </c>
      <c r="D14" s="375"/>
      <c r="E14" s="245"/>
      <c r="F14" s="375"/>
      <c r="G14" s="245"/>
      <c r="H14" s="375"/>
      <c r="I14" s="245"/>
      <c r="J14" s="375"/>
      <c r="K14" s="245"/>
      <c r="L14" s="375"/>
      <c r="M14" s="245"/>
      <c r="N14" s="375"/>
      <c r="O14" s="245"/>
      <c r="P14" s="375"/>
      <c r="Q14" s="245"/>
      <c r="R14" s="375"/>
      <c r="S14" s="245"/>
    </row>
    <row r="15" spans="2:20" ht="19.5" thickBot="1" x14ac:dyDescent="0.3">
      <c r="B15" s="434"/>
      <c r="C15" s="45">
        <v>3</v>
      </c>
      <c r="D15" s="375"/>
      <c r="E15" s="245"/>
      <c r="F15" s="375"/>
      <c r="G15" s="245"/>
      <c r="H15" s="375"/>
      <c r="I15" s="245"/>
      <c r="J15" s="375"/>
      <c r="K15" s="245"/>
      <c r="L15" s="375"/>
      <c r="M15" s="245"/>
      <c r="N15" s="375"/>
      <c r="O15" s="245"/>
      <c r="P15" s="375"/>
      <c r="Q15" s="245"/>
      <c r="R15" s="375"/>
      <c r="S15" s="245"/>
    </row>
    <row r="16" spans="2:20" ht="19.5" thickBot="1" x14ac:dyDescent="0.3">
      <c r="B16" s="434"/>
      <c r="C16" s="45">
        <v>4</v>
      </c>
      <c r="D16" s="375"/>
      <c r="E16" s="245"/>
      <c r="F16" s="375"/>
      <c r="G16" s="245"/>
      <c r="H16" s="375"/>
      <c r="I16" s="245"/>
      <c r="J16" s="375"/>
      <c r="K16" s="245"/>
      <c r="L16" s="375"/>
      <c r="M16" s="245"/>
      <c r="N16" s="375"/>
      <c r="O16" s="245"/>
      <c r="P16" s="375"/>
      <c r="Q16" s="245"/>
      <c r="R16" s="375"/>
      <c r="S16" s="245"/>
    </row>
    <row r="17" spans="1:19" ht="19.5" thickBot="1" x14ac:dyDescent="0.3">
      <c r="B17" s="434"/>
      <c r="C17" s="45">
        <v>5</v>
      </c>
      <c r="D17" s="375"/>
      <c r="E17" s="245"/>
      <c r="F17" s="375"/>
      <c r="G17" s="245"/>
      <c r="H17" s="375"/>
      <c r="I17" s="245"/>
      <c r="J17" s="375"/>
      <c r="K17" s="245"/>
      <c r="L17" s="375"/>
      <c r="M17" s="245"/>
      <c r="N17" s="375"/>
      <c r="O17" s="245"/>
      <c r="P17" s="375"/>
      <c r="Q17" s="245"/>
      <c r="R17" s="375"/>
      <c r="S17" s="245"/>
    </row>
    <row r="18" spans="1:19" ht="19.5" thickBot="1" x14ac:dyDescent="0.3">
      <c r="B18" s="434"/>
      <c r="C18" s="45">
        <v>6</v>
      </c>
      <c r="D18" s="375"/>
      <c r="E18" s="245"/>
      <c r="F18" s="375"/>
      <c r="G18" s="245"/>
      <c r="H18" s="375"/>
      <c r="I18" s="245"/>
      <c r="J18" s="375"/>
      <c r="K18" s="245"/>
      <c r="L18" s="375"/>
      <c r="M18" s="245"/>
      <c r="N18" s="375"/>
      <c r="O18" s="245"/>
      <c r="P18" s="375"/>
      <c r="Q18" s="245"/>
      <c r="R18" s="375"/>
      <c r="S18" s="245"/>
    </row>
    <row r="19" spans="1:19" ht="19.5" thickBot="1" x14ac:dyDescent="0.3">
      <c r="B19" s="434"/>
      <c r="C19" s="45">
        <v>7</v>
      </c>
      <c r="D19" s="375"/>
      <c r="E19" s="245"/>
      <c r="F19" s="375"/>
      <c r="G19" s="245"/>
      <c r="H19" s="375"/>
      <c r="I19" s="245"/>
      <c r="J19" s="375"/>
      <c r="K19" s="245"/>
      <c r="L19" s="375"/>
      <c r="M19" s="245"/>
      <c r="N19" s="375"/>
      <c r="O19" s="245"/>
      <c r="P19" s="375"/>
      <c r="Q19" s="245"/>
      <c r="R19" s="375"/>
      <c r="S19" s="245"/>
    </row>
    <row r="20" spans="1:19" ht="19.5" thickBot="1" x14ac:dyDescent="0.3">
      <c r="B20" s="434"/>
      <c r="C20" s="45">
        <v>8</v>
      </c>
      <c r="D20" s="375"/>
      <c r="E20" s="245"/>
      <c r="F20" s="375"/>
      <c r="G20" s="245"/>
      <c r="H20" s="375"/>
      <c r="I20" s="245"/>
      <c r="J20" s="375"/>
      <c r="K20" s="245"/>
      <c r="L20" s="375"/>
      <c r="M20" s="245"/>
      <c r="N20" s="375"/>
      <c r="O20" s="245"/>
      <c r="P20" s="375"/>
      <c r="Q20" s="245"/>
      <c r="R20" s="375"/>
      <c r="S20" s="245"/>
    </row>
    <row r="21" spans="1:19" ht="19.5" thickBot="1" x14ac:dyDescent="0.3">
      <c r="B21" s="434"/>
      <c r="C21" s="45">
        <v>9</v>
      </c>
      <c r="D21" s="375"/>
      <c r="E21" s="245"/>
      <c r="F21" s="375"/>
      <c r="G21" s="245"/>
      <c r="H21" s="375"/>
      <c r="I21" s="245"/>
      <c r="J21" s="375"/>
      <c r="K21" s="245"/>
      <c r="L21" s="375"/>
      <c r="M21" s="245"/>
      <c r="N21" s="375"/>
      <c r="O21" s="245"/>
      <c r="P21" s="375"/>
      <c r="Q21" s="245"/>
      <c r="R21" s="375"/>
      <c r="S21" s="245"/>
    </row>
    <row r="22" spans="1:19" ht="19.5" thickBot="1" x14ac:dyDescent="0.3">
      <c r="B22" s="434"/>
      <c r="C22" s="45">
        <v>10</v>
      </c>
      <c r="D22" s="375"/>
      <c r="E22" s="245"/>
      <c r="F22" s="375"/>
      <c r="G22" s="245"/>
      <c r="H22" s="375"/>
      <c r="I22" s="245"/>
      <c r="J22" s="375"/>
      <c r="K22" s="245"/>
      <c r="L22" s="375"/>
      <c r="M22" s="245"/>
      <c r="N22" s="375"/>
      <c r="O22" s="245"/>
      <c r="P22" s="375"/>
      <c r="Q22" s="245"/>
      <c r="R22" s="375"/>
      <c r="S22" s="245"/>
    </row>
    <row r="23" spans="1:19" ht="19.5" thickBot="1" x14ac:dyDescent="0.3">
      <c r="B23" s="434"/>
      <c r="C23" s="45">
        <v>11</v>
      </c>
      <c r="D23" s="375"/>
      <c r="E23" s="245"/>
      <c r="F23" s="375"/>
      <c r="G23" s="245"/>
      <c r="H23" s="375"/>
      <c r="I23" s="245"/>
      <c r="J23" s="375"/>
      <c r="K23" s="245"/>
      <c r="L23" s="375"/>
      <c r="M23" s="245"/>
      <c r="N23" s="375"/>
      <c r="O23" s="245"/>
      <c r="P23" s="375"/>
      <c r="Q23" s="245"/>
      <c r="R23" s="375"/>
      <c r="S23" s="245"/>
    </row>
    <row r="24" spans="1:19" ht="19.5" thickBot="1" x14ac:dyDescent="0.3">
      <c r="B24" s="434"/>
      <c r="C24" s="45">
        <v>12</v>
      </c>
      <c r="D24" s="375"/>
      <c r="E24" s="245"/>
      <c r="F24" s="375"/>
      <c r="G24" s="245"/>
      <c r="H24" s="375"/>
      <c r="I24" s="245"/>
      <c r="J24" s="375"/>
      <c r="K24" s="245"/>
      <c r="L24" s="375"/>
      <c r="M24" s="245"/>
      <c r="N24" s="375"/>
      <c r="O24" s="245"/>
      <c r="P24" s="375"/>
      <c r="Q24" s="245"/>
      <c r="R24" s="375"/>
      <c r="S24" s="245"/>
    </row>
    <row r="25" spans="1:19" ht="19.5" thickBot="1" x14ac:dyDescent="0.3">
      <c r="B25" s="434"/>
      <c r="C25" s="45">
        <v>13</v>
      </c>
      <c r="D25" s="375"/>
      <c r="E25" s="245"/>
      <c r="F25" s="375"/>
      <c r="G25" s="245"/>
      <c r="H25" s="375"/>
      <c r="I25" s="245"/>
      <c r="J25" s="375"/>
      <c r="K25" s="245"/>
      <c r="L25" s="375"/>
      <c r="M25" s="245"/>
      <c r="N25" s="375"/>
      <c r="O25" s="245"/>
      <c r="P25" s="375"/>
      <c r="Q25" s="245"/>
      <c r="R25" s="375"/>
      <c r="S25" s="245"/>
    </row>
    <row r="26" spans="1:19" ht="19.5" thickBot="1" x14ac:dyDescent="0.3">
      <c r="B26" s="434"/>
      <c r="C26" s="45">
        <v>14</v>
      </c>
      <c r="D26" s="375"/>
      <c r="E26" s="245"/>
      <c r="F26" s="375"/>
      <c r="G26" s="245"/>
      <c r="H26" s="375"/>
      <c r="I26" s="245"/>
      <c r="J26" s="375"/>
      <c r="K26" s="245"/>
      <c r="L26" s="375"/>
      <c r="M26" s="245"/>
      <c r="N26" s="375"/>
      <c r="O26" s="245"/>
      <c r="P26" s="375"/>
      <c r="Q26" s="245"/>
      <c r="R26" s="375"/>
      <c r="S26" s="245"/>
    </row>
    <row r="27" spans="1:19" ht="19.5" thickBot="1" x14ac:dyDescent="0.3">
      <c r="B27" s="434"/>
      <c r="C27" s="45">
        <v>15</v>
      </c>
      <c r="D27" s="375"/>
      <c r="E27" s="245"/>
      <c r="F27" s="375"/>
      <c r="G27" s="245"/>
      <c r="H27" s="375"/>
      <c r="I27" s="245"/>
      <c r="J27" s="375"/>
      <c r="K27" s="245"/>
      <c r="L27" s="375"/>
      <c r="M27" s="245"/>
      <c r="N27" s="375"/>
      <c r="O27" s="245"/>
      <c r="P27" s="375"/>
      <c r="Q27" s="245"/>
      <c r="R27" s="375"/>
      <c r="S27" s="245"/>
    </row>
    <row r="28" spans="1:19" ht="19.5" thickBot="1" x14ac:dyDescent="0.3">
      <c r="B28" s="434"/>
      <c r="C28" s="45">
        <v>16</v>
      </c>
      <c r="D28" s="375"/>
      <c r="E28" s="245"/>
      <c r="F28" s="375"/>
      <c r="G28" s="245"/>
      <c r="H28" s="375"/>
      <c r="I28" s="245"/>
      <c r="J28" s="375"/>
      <c r="K28" s="245"/>
      <c r="L28" s="375"/>
      <c r="M28" s="245"/>
      <c r="N28" s="375"/>
      <c r="O28" s="245"/>
      <c r="P28" s="375"/>
      <c r="Q28" s="245"/>
      <c r="R28" s="375"/>
      <c r="S28" s="245"/>
    </row>
    <row r="29" spans="1:19" ht="19.5" thickBot="1" x14ac:dyDescent="0.3">
      <c r="B29" s="434"/>
      <c r="C29" s="45">
        <v>17</v>
      </c>
      <c r="D29" s="375"/>
      <c r="E29" s="245"/>
      <c r="F29" s="375"/>
      <c r="G29" s="245"/>
      <c r="H29" s="375"/>
      <c r="I29" s="245"/>
      <c r="J29" s="375"/>
      <c r="K29" s="245"/>
      <c r="L29" s="375"/>
      <c r="M29" s="245"/>
      <c r="N29" s="375"/>
      <c r="O29" s="245"/>
      <c r="P29" s="375"/>
      <c r="Q29" s="245"/>
      <c r="R29" s="375"/>
      <c r="S29" s="245"/>
    </row>
    <row r="30" spans="1:19" ht="19.5" thickBot="1" x14ac:dyDescent="0.3">
      <c r="A30" s="25"/>
      <c r="B30" s="434"/>
      <c r="C30" s="45">
        <v>18</v>
      </c>
      <c r="D30" s="375"/>
      <c r="E30" s="245"/>
      <c r="F30" s="375"/>
      <c r="G30" s="245"/>
      <c r="H30" s="375"/>
      <c r="I30" s="245"/>
      <c r="J30" s="375"/>
      <c r="K30" s="245"/>
      <c r="L30" s="375"/>
      <c r="M30" s="245"/>
      <c r="N30" s="375"/>
      <c r="O30" s="245"/>
      <c r="P30" s="375"/>
      <c r="Q30" s="245"/>
      <c r="R30" s="375"/>
      <c r="S30" s="245"/>
    </row>
    <row r="31" spans="1:19" ht="19.5" thickBot="1" x14ac:dyDescent="0.3">
      <c r="A31" s="25"/>
      <c r="B31" s="434"/>
      <c r="C31" s="45">
        <v>19</v>
      </c>
      <c r="D31" s="375"/>
      <c r="E31" s="245"/>
      <c r="F31" s="375"/>
      <c r="G31" s="245"/>
      <c r="H31" s="375"/>
      <c r="I31" s="245"/>
      <c r="J31" s="375"/>
      <c r="K31" s="245"/>
      <c r="L31" s="375"/>
      <c r="M31" s="245"/>
      <c r="N31" s="375"/>
      <c r="O31" s="245"/>
      <c r="P31" s="375"/>
      <c r="Q31" s="245"/>
      <c r="R31" s="375"/>
      <c r="S31" s="245"/>
    </row>
    <row r="32" spans="1:19" ht="19.5" thickBot="1" x14ac:dyDescent="0.3">
      <c r="A32" s="25"/>
      <c r="B32" s="434"/>
      <c r="C32" s="45">
        <v>20</v>
      </c>
      <c r="D32" s="375"/>
      <c r="E32" s="245"/>
      <c r="F32" s="375"/>
      <c r="G32" s="245"/>
      <c r="H32" s="375"/>
      <c r="I32" s="245"/>
      <c r="J32" s="375"/>
      <c r="K32" s="245"/>
      <c r="L32" s="375"/>
      <c r="M32" s="245"/>
      <c r="N32" s="375"/>
      <c r="O32" s="245"/>
      <c r="P32" s="375"/>
      <c r="Q32" s="245"/>
      <c r="R32" s="375"/>
      <c r="S32" s="245"/>
    </row>
    <row r="33" spans="1:19" ht="19.5" thickBot="1" x14ac:dyDescent="0.3">
      <c r="A33" s="25"/>
      <c r="B33" s="434"/>
      <c r="C33" s="45">
        <v>21</v>
      </c>
      <c r="D33" s="375"/>
      <c r="E33" s="245"/>
      <c r="F33" s="375"/>
      <c r="G33" s="245"/>
      <c r="H33" s="375"/>
      <c r="I33" s="245"/>
      <c r="J33" s="375"/>
      <c r="K33" s="245"/>
      <c r="L33" s="375"/>
      <c r="M33" s="245"/>
      <c r="N33" s="375"/>
      <c r="O33" s="245"/>
      <c r="P33" s="375"/>
      <c r="Q33" s="245"/>
      <c r="R33" s="375"/>
      <c r="S33" s="245"/>
    </row>
    <row r="34" spans="1:19" ht="19.5" thickBot="1" x14ac:dyDescent="0.3">
      <c r="A34" s="25"/>
      <c r="B34" s="434"/>
      <c r="C34" s="45">
        <v>22</v>
      </c>
      <c r="D34" s="375"/>
      <c r="E34" s="245"/>
      <c r="F34" s="375"/>
      <c r="G34" s="245"/>
      <c r="H34" s="375"/>
      <c r="I34" s="245"/>
      <c r="J34" s="375"/>
      <c r="K34" s="245"/>
      <c r="L34" s="375"/>
      <c r="M34" s="245"/>
      <c r="N34" s="375"/>
      <c r="O34" s="245"/>
      <c r="P34" s="375"/>
      <c r="Q34" s="245"/>
      <c r="R34" s="375"/>
      <c r="S34" s="245"/>
    </row>
    <row r="35" spans="1:19" ht="19.5" thickBot="1" x14ac:dyDescent="0.3">
      <c r="A35" s="25"/>
      <c r="B35" s="434"/>
      <c r="C35" s="45">
        <v>23</v>
      </c>
      <c r="D35" s="375"/>
      <c r="E35" s="245"/>
      <c r="F35" s="375"/>
      <c r="G35" s="245"/>
      <c r="H35" s="375"/>
      <c r="I35" s="245"/>
      <c r="J35" s="375"/>
      <c r="K35" s="245"/>
      <c r="L35" s="375"/>
      <c r="M35" s="245"/>
      <c r="N35" s="375"/>
      <c r="O35" s="245"/>
      <c r="P35" s="375"/>
      <c r="Q35" s="245"/>
      <c r="R35" s="375"/>
      <c r="S35" s="245"/>
    </row>
    <row r="36" spans="1:19" ht="19.5" thickBot="1" x14ac:dyDescent="0.3">
      <c r="A36" s="25"/>
      <c r="B36" s="434"/>
      <c r="C36" s="45">
        <v>24</v>
      </c>
      <c r="D36" s="375"/>
      <c r="E36" s="245"/>
      <c r="F36" s="375"/>
      <c r="G36" s="245"/>
      <c r="H36" s="375"/>
      <c r="I36" s="245"/>
      <c r="J36" s="375"/>
      <c r="K36" s="245"/>
      <c r="L36" s="375"/>
      <c r="M36" s="245"/>
      <c r="N36" s="375"/>
      <c r="O36" s="245"/>
      <c r="P36" s="375"/>
      <c r="Q36" s="245"/>
      <c r="R36" s="375"/>
      <c r="S36" s="245"/>
    </row>
    <row r="37" spans="1:19" ht="19.5" thickBot="1" x14ac:dyDescent="0.3">
      <c r="B37" s="434"/>
      <c r="C37" s="45">
        <v>25</v>
      </c>
      <c r="D37" s="375"/>
      <c r="E37" s="245"/>
      <c r="F37" s="375"/>
      <c r="G37" s="245"/>
      <c r="H37" s="375"/>
      <c r="I37" s="245"/>
      <c r="J37" s="375"/>
      <c r="K37" s="245"/>
      <c r="L37" s="375"/>
      <c r="M37" s="245"/>
      <c r="N37" s="375"/>
      <c r="O37" s="245"/>
      <c r="P37" s="375"/>
      <c r="Q37" s="245"/>
      <c r="R37" s="375"/>
      <c r="S37" s="245"/>
    </row>
    <row r="38" spans="1:19" ht="19.5" thickBot="1" x14ac:dyDescent="0.3">
      <c r="B38" s="434"/>
      <c r="C38" s="45">
        <v>26</v>
      </c>
      <c r="D38" s="375"/>
      <c r="E38" s="245"/>
      <c r="F38" s="375"/>
      <c r="G38" s="245"/>
      <c r="H38" s="375"/>
      <c r="I38" s="245"/>
      <c r="J38" s="375"/>
      <c r="K38" s="245"/>
      <c r="L38" s="375"/>
      <c r="M38" s="245"/>
      <c r="N38" s="375"/>
      <c r="O38" s="245"/>
      <c r="P38" s="375"/>
      <c r="Q38" s="245"/>
      <c r="R38" s="375"/>
      <c r="S38" s="245"/>
    </row>
    <row r="39" spans="1:19" ht="19.5" thickBot="1" x14ac:dyDescent="0.3">
      <c r="B39" s="434"/>
      <c r="C39" s="45">
        <v>27</v>
      </c>
      <c r="D39" s="375"/>
      <c r="E39" s="245"/>
      <c r="F39" s="375"/>
      <c r="G39" s="245"/>
      <c r="H39" s="375"/>
      <c r="I39" s="245"/>
      <c r="J39" s="375"/>
      <c r="K39" s="245"/>
      <c r="L39" s="375"/>
      <c r="M39" s="245"/>
      <c r="N39" s="375"/>
      <c r="O39" s="245"/>
      <c r="P39" s="375"/>
      <c r="Q39" s="245"/>
      <c r="R39" s="375"/>
      <c r="S39" s="245"/>
    </row>
    <row r="40" spans="1:19" ht="19.5" thickBot="1" x14ac:dyDescent="0.3">
      <c r="B40" s="434"/>
      <c r="C40" s="45">
        <v>28</v>
      </c>
      <c r="D40" s="375"/>
      <c r="E40" s="245"/>
      <c r="F40" s="375"/>
      <c r="G40" s="245"/>
      <c r="H40" s="375"/>
      <c r="I40" s="245"/>
      <c r="J40" s="375"/>
      <c r="K40" s="245"/>
      <c r="L40" s="375"/>
      <c r="M40" s="245"/>
      <c r="N40" s="375"/>
      <c r="O40" s="245"/>
      <c r="P40" s="375"/>
      <c r="Q40" s="245"/>
      <c r="R40" s="375"/>
      <c r="S40" s="245"/>
    </row>
    <row r="41" spans="1:19" ht="19.5" thickBot="1" x14ac:dyDescent="0.3">
      <c r="B41" s="434"/>
      <c r="C41" s="45">
        <v>29</v>
      </c>
      <c r="D41" s="375"/>
      <c r="E41" s="245"/>
      <c r="F41" s="375"/>
      <c r="G41" s="245"/>
      <c r="H41" s="375"/>
      <c r="I41" s="245"/>
      <c r="J41" s="375"/>
      <c r="K41" s="245"/>
      <c r="L41" s="375"/>
      <c r="M41" s="245"/>
      <c r="N41" s="375"/>
      <c r="O41" s="245"/>
      <c r="P41" s="375"/>
      <c r="Q41" s="245"/>
      <c r="R41" s="375"/>
      <c r="S41" s="245"/>
    </row>
    <row r="42" spans="1:19" ht="19.5" thickBot="1" x14ac:dyDescent="0.3">
      <c r="B42" s="434"/>
      <c r="C42" s="45">
        <v>30</v>
      </c>
      <c r="D42" s="375"/>
      <c r="E42" s="245"/>
      <c r="F42" s="375"/>
      <c r="G42" s="245"/>
      <c r="H42" s="375"/>
      <c r="I42" s="245"/>
      <c r="J42" s="375"/>
      <c r="K42" s="245"/>
      <c r="L42" s="375"/>
      <c r="M42" s="245"/>
      <c r="N42" s="375"/>
      <c r="O42" s="245"/>
      <c r="P42" s="375"/>
      <c r="Q42" s="245"/>
      <c r="R42" s="375"/>
      <c r="S42" s="245"/>
    </row>
    <row r="43" spans="1:19" ht="19.5" thickBot="1" x14ac:dyDescent="0.3">
      <c r="B43" s="434"/>
      <c r="C43" s="50">
        <v>31</v>
      </c>
      <c r="D43" s="375"/>
      <c r="E43" s="245"/>
      <c r="F43" s="375"/>
      <c r="G43" s="245"/>
      <c r="H43" s="375"/>
      <c r="I43" s="245"/>
      <c r="J43" s="375"/>
      <c r="K43" s="245"/>
      <c r="L43" s="375"/>
      <c r="M43" s="245"/>
      <c r="N43" s="375"/>
      <c r="O43" s="245"/>
      <c r="P43" s="375"/>
      <c r="Q43" s="245"/>
      <c r="R43" s="375"/>
      <c r="S43" s="245"/>
    </row>
    <row r="44" spans="1:19" ht="15" customHeight="1" x14ac:dyDescent="0.25">
      <c r="B44" s="191" t="s">
        <v>205</v>
      </c>
      <c r="C44" s="192"/>
      <c r="D44" s="192"/>
      <c r="E44" s="192"/>
      <c r="F44" s="192"/>
      <c r="G44" s="192"/>
      <c r="H44" s="192"/>
      <c r="I44" s="192"/>
      <c r="J44" s="193"/>
      <c r="K44" s="191" t="s">
        <v>199</v>
      </c>
      <c r="L44" s="192"/>
      <c r="M44" s="192"/>
      <c r="N44" s="192"/>
      <c r="O44" s="192"/>
      <c r="P44" s="192"/>
      <c r="Q44" s="192"/>
      <c r="R44" s="192"/>
      <c r="S44" s="193"/>
    </row>
    <row r="45" spans="1:19" ht="15" customHeight="1" x14ac:dyDescent="0.25">
      <c r="B45" s="194"/>
      <c r="C45" s="195"/>
      <c r="D45" s="195"/>
      <c r="E45" s="195"/>
      <c r="F45" s="195"/>
      <c r="G45" s="195"/>
      <c r="H45" s="195"/>
      <c r="I45" s="195"/>
      <c r="J45" s="196"/>
      <c r="K45" s="194"/>
      <c r="L45" s="195"/>
      <c r="M45" s="195"/>
      <c r="N45" s="195"/>
      <c r="O45" s="195"/>
      <c r="P45" s="195"/>
      <c r="Q45" s="195"/>
      <c r="R45" s="195"/>
      <c r="S45" s="196"/>
    </row>
    <row r="46" spans="1:19" ht="15" customHeight="1" x14ac:dyDescent="0.25">
      <c r="B46" s="194"/>
      <c r="C46" s="195"/>
      <c r="D46" s="195"/>
      <c r="E46" s="195"/>
      <c r="F46" s="195"/>
      <c r="G46" s="195"/>
      <c r="H46" s="195"/>
      <c r="I46" s="195"/>
      <c r="J46" s="196"/>
      <c r="K46" s="194"/>
      <c r="L46" s="195"/>
      <c r="M46" s="195"/>
      <c r="N46" s="195"/>
      <c r="O46" s="195"/>
      <c r="P46" s="195"/>
      <c r="Q46" s="195"/>
      <c r="R46" s="195"/>
      <c r="S46" s="196"/>
    </row>
    <row r="47" spans="1:19" x14ac:dyDescent="0.25">
      <c r="B47" s="194"/>
      <c r="C47" s="195"/>
      <c r="D47" s="195"/>
      <c r="E47" s="195"/>
      <c r="F47" s="195"/>
      <c r="G47" s="195"/>
      <c r="H47" s="195"/>
      <c r="I47" s="195"/>
      <c r="J47" s="196"/>
      <c r="K47" s="194"/>
      <c r="L47" s="195"/>
      <c r="M47" s="195"/>
      <c r="N47" s="195"/>
      <c r="O47" s="195"/>
      <c r="P47" s="195"/>
      <c r="Q47" s="195"/>
      <c r="R47" s="195"/>
      <c r="S47" s="196"/>
    </row>
    <row r="48" spans="1:19" x14ac:dyDescent="0.25">
      <c r="B48" s="194"/>
      <c r="C48" s="195"/>
      <c r="D48" s="195"/>
      <c r="E48" s="195"/>
      <c r="F48" s="195"/>
      <c r="G48" s="195"/>
      <c r="H48" s="195"/>
      <c r="I48" s="195"/>
      <c r="J48" s="196"/>
      <c r="K48" s="194"/>
      <c r="L48" s="195"/>
      <c r="M48" s="195"/>
      <c r="N48" s="195"/>
      <c r="O48" s="195"/>
      <c r="P48" s="195"/>
      <c r="Q48" s="195"/>
      <c r="R48" s="195"/>
      <c r="S48" s="196"/>
    </row>
    <row r="49" spans="2:19" ht="15.75" thickBot="1" x14ac:dyDescent="0.3">
      <c r="B49" s="197"/>
      <c r="C49" s="198"/>
      <c r="D49" s="198"/>
      <c r="E49" s="198"/>
      <c r="F49" s="198"/>
      <c r="G49" s="198"/>
      <c r="H49" s="198"/>
      <c r="I49" s="198"/>
      <c r="J49" s="199"/>
      <c r="K49" s="197"/>
      <c r="L49" s="198"/>
      <c r="M49" s="198"/>
      <c r="N49" s="198"/>
      <c r="O49" s="198"/>
      <c r="P49" s="198"/>
      <c r="Q49" s="198"/>
      <c r="R49" s="198"/>
      <c r="S49" s="199"/>
    </row>
  </sheetData>
  <mergeCells count="295">
    <mergeCell ref="R38:S38"/>
    <mergeCell ref="R39:S39"/>
    <mergeCell ref="R40:S40"/>
    <mergeCell ref="R41:S41"/>
    <mergeCell ref="R42:S42"/>
    <mergeCell ref="R43:S43"/>
    <mergeCell ref="R32:S32"/>
    <mergeCell ref="R33:S33"/>
    <mergeCell ref="R34:S34"/>
    <mergeCell ref="R35:S35"/>
    <mergeCell ref="R36:S36"/>
    <mergeCell ref="R37:S37"/>
    <mergeCell ref="R26:S26"/>
    <mergeCell ref="R27:S27"/>
    <mergeCell ref="R28:S28"/>
    <mergeCell ref="R29:S29"/>
    <mergeCell ref="R30:S30"/>
    <mergeCell ref="R31:S31"/>
    <mergeCell ref="R20:S20"/>
    <mergeCell ref="R21:S21"/>
    <mergeCell ref="R22:S22"/>
    <mergeCell ref="R23:S23"/>
    <mergeCell ref="R24:S24"/>
    <mergeCell ref="R25:S25"/>
    <mergeCell ref="P41:Q41"/>
    <mergeCell ref="P42:Q42"/>
    <mergeCell ref="P43:Q43"/>
    <mergeCell ref="R13:S13"/>
    <mergeCell ref="R14:S14"/>
    <mergeCell ref="R15:S15"/>
    <mergeCell ref="R16:S16"/>
    <mergeCell ref="R17:S17"/>
    <mergeCell ref="R18:S18"/>
    <mergeCell ref="R19:S19"/>
    <mergeCell ref="P35:Q35"/>
    <mergeCell ref="P36:Q36"/>
    <mergeCell ref="P37:Q37"/>
    <mergeCell ref="P38:Q38"/>
    <mergeCell ref="P39:Q39"/>
    <mergeCell ref="P40:Q40"/>
    <mergeCell ref="P29:Q29"/>
    <mergeCell ref="P30:Q30"/>
    <mergeCell ref="P31:Q31"/>
    <mergeCell ref="P32:Q32"/>
    <mergeCell ref="P33:Q33"/>
    <mergeCell ref="P34:Q34"/>
    <mergeCell ref="P23:Q23"/>
    <mergeCell ref="P24:Q24"/>
    <mergeCell ref="P25:Q25"/>
    <mergeCell ref="P26:Q26"/>
    <mergeCell ref="P27:Q27"/>
    <mergeCell ref="P28:Q28"/>
    <mergeCell ref="P17:Q17"/>
    <mergeCell ref="P18:Q18"/>
    <mergeCell ref="P19:Q19"/>
    <mergeCell ref="P20:Q20"/>
    <mergeCell ref="P21:Q21"/>
    <mergeCell ref="P22:Q22"/>
    <mergeCell ref="N40:O40"/>
    <mergeCell ref="N41:O41"/>
    <mergeCell ref="N42:O42"/>
    <mergeCell ref="N43:O43"/>
    <mergeCell ref="P12:Q12"/>
    <mergeCell ref="R12:S12"/>
    <mergeCell ref="P13:Q13"/>
    <mergeCell ref="P14:Q14"/>
    <mergeCell ref="P15:Q15"/>
    <mergeCell ref="P16:Q16"/>
    <mergeCell ref="N34:O34"/>
    <mergeCell ref="N35:O35"/>
    <mergeCell ref="N36:O36"/>
    <mergeCell ref="N37:O37"/>
    <mergeCell ref="N38:O38"/>
    <mergeCell ref="N39:O39"/>
    <mergeCell ref="N28:O28"/>
    <mergeCell ref="N29:O29"/>
    <mergeCell ref="N30:O30"/>
    <mergeCell ref="N31:O31"/>
    <mergeCell ref="N32:O32"/>
    <mergeCell ref="N33:O33"/>
    <mergeCell ref="N22:O22"/>
    <mergeCell ref="N23:O23"/>
    <mergeCell ref="N24:O24"/>
    <mergeCell ref="N25:O25"/>
    <mergeCell ref="N26:O26"/>
    <mergeCell ref="N27:O27"/>
    <mergeCell ref="L43:M43"/>
    <mergeCell ref="N13:O13"/>
    <mergeCell ref="N14:O14"/>
    <mergeCell ref="N15:O15"/>
    <mergeCell ref="N16:O16"/>
    <mergeCell ref="N17:O17"/>
    <mergeCell ref="N18:O18"/>
    <mergeCell ref="N19:O19"/>
    <mergeCell ref="N20:O20"/>
    <mergeCell ref="N21:O21"/>
    <mergeCell ref="L37:M37"/>
    <mergeCell ref="L38:M38"/>
    <mergeCell ref="L39:M39"/>
    <mergeCell ref="L40:M40"/>
    <mergeCell ref="L41:M41"/>
    <mergeCell ref="L42:M42"/>
    <mergeCell ref="L31:M31"/>
    <mergeCell ref="L32:M32"/>
    <mergeCell ref="L33:M33"/>
    <mergeCell ref="L34:M34"/>
    <mergeCell ref="L26:M26"/>
    <mergeCell ref="L27:M27"/>
    <mergeCell ref="L28:M28"/>
    <mergeCell ref="L29:M29"/>
    <mergeCell ref="L30:M30"/>
    <mergeCell ref="L19:M19"/>
    <mergeCell ref="L20:M20"/>
    <mergeCell ref="L21:M21"/>
    <mergeCell ref="L22:M22"/>
    <mergeCell ref="L23:M23"/>
    <mergeCell ref="L24:M24"/>
    <mergeCell ref="L13:M13"/>
    <mergeCell ref="L14:M14"/>
    <mergeCell ref="L15:M15"/>
    <mergeCell ref="L16:M16"/>
    <mergeCell ref="L17:M17"/>
    <mergeCell ref="L18:M18"/>
    <mergeCell ref="J38:K38"/>
    <mergeCell ref="J39:K39"/>
    <mergeCell ref="J40:K40"/>
    <mergeCell ref="J26:K26"/>
    <mergeCell ref="J27:K27"/>
    <mergeCell ref="J28:K28"/>
    <mergeCell ref="J29:K29"/>
    <mergeCell ref="J30:K30"/>
    <mergeCell ref="J31:K31"/>
    <mergeCell ref="J20:K20"/>
    <mergeCell ref="J21:K21"/>
    <mergeCell ref="J22:K22"/>
    <mergeCell ref="J23:K23"/>
    <mergeCell ref="J24:K24"/>
    <mergeCell ref="J25:K25"/>
    <mergeCell ref="L35:M35"/>
    <mergeCell ref="L36:M36"/>
    <mergeCell ref="L25:M25"/>
    <mergeCell ref="J41:K41"/>
    <mergeCell ref="J42:K42"/>
    <mergeCell ref="J43:K43"/>
    <mergeCell ref="J32:K32"/>
    <mergeCell ref="J33:K33"/>
    <mergeCell ref="J34:K34"/>
    <mergeCell ref="J35:K35"/>
    <mergeCell ref="J36:K36"/>
    <mergeCell ref="J37:K37"/>
    <mergeCell ref="H41:I41"/>
    <mergeCell ref="H42:I42"/>
    <mergeCell ref="H43:I43"/>
    <mergeCell ref="J13:K13"/>
    <mergeCell ref="J14:K14"/>
    <mergeCell ref="J15:K15"/>
    <mergeCell ref="J16:K16"/>
    <mergeCell ref="J17:K17"/>
    <mergeCell ref="J18:K18"/>
    <mergeCell ref="J19:K19"/>
    <mergeCell ref="H35:I35"/>
    <mergeCell ref="H36:I36"/>
    <mergeCell ref="H37:I37"/>
    <mergeCell ref="H38:I38"/>
    <mergeCell ref="H39:I39"/>
    <mergeCell ref="H40:I40"/>
    <mergeCell ref="H29:I29"/>
    <mergeCell ref="H30:I30"/>
    <mergeCell ref="H31:I31"/>
    <mergeCell ref="H32:I32"/>
    <mergeCell ref="H33:I33"/>
    <mergeCell ref="H34:I34"/>
    <mergeCell ref="H23:I23"/>
    <mergeCell ref="H24:I24"/>
    <mergeCell ref="H25:I25"/>
    <mergeCell ref="H26:I26"/>
    <mergeCell ref="H27:I27"/>
    <mergeCell ref="H28:I28"/>
    <mergeCell ref="H17:I17"/>
    <mergeCell ref="H18:I18"/>
    <mergeCell ref="H19:I19"/>
    <mergeCell ref="H20:I20"/>
    <mergeCell ref="H21:I21"/>
    <mergeCell ref="H22:I22"/>
    <mergeCell ref="F39:G39"/>
    <mergeCell ref="F40:G40"/>
    <mergeCell ref="F41:G41"/>
    <mergeCell ref="F42:G42"/>
    <mergeCell ref="F43:G43"/>
    <mergeCell ref="H12:I12"/>
    <mergeCell ref="H13:I13"/>
    <mergeCell ref="H14:I14"/>
    <mergeCell ref="H15:I15"/>
    <mergeCell ref="H16:I16"/>
    <mergeCell ref="F33:G33"/>
    <mergeCell ref="F34:G34"/>
    <mergeCell ref="F35:G35"/>
    <mergeCell ref="F36:G36"/>
    <mergeCell ref="F37:G37"/>
    <mergeCell ref="F38:G38"/>
    <mergeCell ref="F27:G27"/>
    <mergeCell ref="F28:G28"/>
    <mergeCell ref="F29:G29"/>
    <mergeCell ref="F30:G30"/>
    <mergeCell ref="F31:G31"/>
    <mergeCell ref="F32:G32"/>
    <mergeCell ref="F21:G21"/>
    <mergeCell ref="F22:G22"/>
    <mergeCell ref="F23:G23"/>
    <mergeCell ref="F24:G24"/>
    <mergeCell ref="F25:G25"/>
    <mergeCell ref="F26:G26"/>
    <mergeCell ref="D43:E43"/>
    <mergeCell ref="F12:G12"/>
    <mergeCell ref="F13:G13"/>
    <mergeCell ref="F14:G14"/>
    <mergeCell ref="F15:G15"/>
    <mergeCell ref="F16:G16"/>
    <mergeCell ref="F17:G17"/>
    <mergeCell ref="F18:G18"/>
    <mergeCell ref="F19:G19"/>
    <mergeCell ref="F20:G20"/>
    <mergeCell ref="D37:E37"/>
    <mergeCell ref="D38:E38"/>
    <mergeCell ref="D39:E39"/>
    <mergeCell ref="D40:E40"/>
    <mergeCell ref="D41:E41"/>
    <mergeCell ref="D42:E42"/>
    <mergeCell ref="D31:E31"/>
    <mergeCell ref="D32:E32"/>
    <mergeCell ref="D33:E33"/>
    <mergeCell ref="D34:E34"/>
    <mergeCell ref="D36:E36"/>
    <mergeCell ref="D25:E25"/>
    <mergeCell ref="D26:E26"/>
    <mergeCell ref="D27:E27"/>
    <mergeCell ref="D28:E28"/>
    <mergeCell ref="D29:E29"/>
    <mergeCell ref="D30:E30"/>
    <mergeCell ref="D19:E19"/>
    <mergeCell ref="D20:E20"/>
    <mergeCell ref="D21:E21"/>
    <mergeCell ref="D22:E22"/>
    <mergeCell ref="D23:E23"/>
    <mergeCell ref="D24:E24"/>
    <mergeCell ref="B13:B43"/>
    <mergeCell ref="B44:J49"/>
    <mergeCell ref="K44:S49"/>
    <mergeCell ref="P8:S8"/>
    <mergeCell ref="P9:S9"/>
    <mergeCell ref="H10:K10"/>
    <mergeCell ref="L10:O10"/>
    <mergeCell ref="P10:S10"/>
    <mergeCell ref="D12:E12"/>
    <mergeCell ref="J12:K12"/>
    <mergeCell ref="L12:M12"/>
    <mergeCell ref="N12:O12"/>
    <mergeCell ref="D11:G11"/>
    <mergeCell ref="D10:G10"/>
    <mergeCell ref="L11:O11"/>
    <mergeCell ref="H11:K11"/>
    <mergeCell ref="P11:S11"/>
    <mergeCell ref="D13:E13"/>
    <mergeCell ref="D14:E14"/>
    <mergeCell ref="D15:E15"/>
    <mergeCell ref="D16:E16"/>
    <mergeCell ref="D17:E17"/>
    <mergeCell ref="D18:E18"/>
    <mergeCell ref="D35:E35"/>
    <mergeCell ref="D7:G7"/>
    <mergeCell ref="D8:G8"/>
    <mergeCell ref="D9:G9"/>
    <mergeCell ref="C5:L5"/>
    <mergeCell ref="M5:N5"/>
    <mergeCell ref="O5:S5"/>
    <mergeCell ref="B6:C11"/>
    <mergeCell ref="H7:K7"/>
    <mergeCell ref="L8:O8"/>
    <mergeCell ref="L7:O7"/>
    <mergeCell ref="P7:S7"/>
    <mergeCell ref="H8:K8"/>
    <mergeCell ref="H9:K9"/>
    <mergeCell ref="L9:O9"/>
    <mergeCell ref="B1:C1"/>
    <mergeCell ref="D1:N1"/>
    <mergeCell ref="O1:S1"/>
    <mergeCell ref="B2:S2"/>
    <mergeCell ref="B3:S3"/>
    <mergeCell ref="C4:L4"/>
    <mergeCell ref="M4:N4"/>
    <mergeCell ref="O4:S4"/>
    <mergeCell ref="D6:G6"/>
    <mergeCell ref="H6:K6"/>
    <mergeCell ref="L6:O6"/>
    <mergeCell ref="P6:S6"/>
  </mergeCells>
  <pageMargins left="0.7" right="0.7" top="0.75" bottom="0.75" header="0.3" footer="0.3"/>
  <pageSetup scale="74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  <pageSetUpPr fitToPage="1"/>
  </sheetPr>
  <dimension ref="A1:T49"/>
  <sheetViews>
    <sheetView zoomScaleNormal="100" workbookViewId="0">
      <selection activeCell="H9" sqref="H9:K9"/>
    </sheetView>
  </sheetViews>
  <sheetFormatPr baseColWidth="10" defaultRowHeight="15" x14ac:dyDescent="0.25"/>
  <cols>
    <col min="1" max="1" width="2.5703125" style="2" customWidth="1"/>
    <col min="2" max="2" width="13.7109375" style="2" customWidth="1"/>
    <col min="3" max="3" width="5.28515625" style="2" bestFit="1" customWidth="1"/>
    <col min="4" max="4" width="5.7109375" style="2" customWidth="1"/>
    <col min="5" max="5" width="4.42578125" style="2" customWidth="1"/>
    <col min="6" max="19" width="5.7109375" style="2" customWidth="1"/>
    <col min="20" max="20" width="0" hidden="1" customWidth="1"/>
  </cols>
  <sheetData>
    <row r="1" spans="2:20" ht="77.25" customHeight="1" thickBot="1" x14ac:dyDescent="0.3">
      <c r="B1" s="452"/>
      <c r="C1" s="373"/>
      <c r="D1" s="453" t="s">
        <v>206</v>
      </c>
      <c r="E1" s="456"/>
      <c r="F1" s="456"/>
      <c r="G1" s="456"/>
      <c r="H1" s="456"/>
      <c r="I1" s="456"/>
      <c r="J1" s="456"/>
      <c r="K1" s="456"/>
      <c r="L1" s="456"/>
      <c r="M1" s="456"/>
      <c r="N1" s="457"/>
      <c r="O1" s="370"/>
      <c r="P1" s="371"/>
      <c r="Q1" s="371"/>
      <c r="R1" s="371"/>
      <c r="S1" s="372"/>
    </row>
    <row r="2" spans="2:20" ht="15.75" thickBot="1" x14ac:dyDescent="0.3">
      <c r="B2" s="375" t="s">
        <v>72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5"/>
    </row>
    <row r="3" spans="2:20" ht="15.75" thickBot="1" x14ac:dyDescent="0.3">
      <c r="B3" s="375" t="s">
        <v>136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5"/>
    </row>
    <row r="4" spans="2:20" x14ac:dyDescent="0.25">
      <c r="B4" s="26" t="s">
        <v>58</v>
      </c>
      <c r="C4" s="247" t="s">
        <v>96</v>
      </c>
      <c r="D4" s="247"/>
      <c r="E4" s="247"/>
      <c r="F4" s="247"/>
      <c r="G4" s="247"/>
      <c r="H4" s="247"/>
      <c r="I4" s="247"/>
      <c r="J4" s="247"/>
      <c r="K4" s="247"/>
      <c r="L4" s="449"/>
      <c r="M4" s="450" t="s">
        <v>5</v>
      </c>
      <c r="N4" s="451"/>
      <c r="O4" s="247" t="s">
        <v>236</v>
      </c>
      <c r="P4" s="247"/>
      <c r="Q4" s="247"/>
      <c r="R4" s="247"/>
      <c r="S4" s="449"/>
    </row>
    <row r="5" spans="2:20" ht="15.75" thickBot="1" x14ac:dyDescent="0.3">
      <c r="B5" s="27" t="s">
        <v>4</v>
      </c>
      <c r="C5" s="438" t="s">
        <v>235</v>
      </c>
      <c r="D5" s="439"/>
      <c r="E5" s="439"/>
      <c r="F5" s="439"/>
      <c r="G5" s="439"/>
      <c r="H5" s="439"/>
      <c r="I5" s="439"/>
      <c r="J5" s="439"/>
      <c r="K5" s="439"/>
      <c r="L5" s="440"/>
      <c r="M5" s="441" t="s">
        <v>73</v>
      </c>
      <c r="N5" s="442"/>
      <c r="O5" s="443"/>
      <c r="P5" s="443"/>
      <c r="Q5" s="443"/>
      <c r="R5" s="443"/>
      <c r="S5" s="444"/>
    </row>
    <row r="6" spans="2:20" ht="15.75" thickBot="1" x14ac:dyDescent="0.3">
      <c r="B6" s="337"/>
      <c r="C6" s="338"/>
      <c r="D6" s="436" t="s">
        <v>74</v>
      </c>
      <c r="E6" s="460"/>
      <c r="F6" s="460"/>
      <c r="G6" s="437"/>
      <c r="H6" s="436" t="s">
        <v>74</v>
      </c>
      <c r="I6" s="460"/>
      <c r="J6" s="460"/>
      <c r="K6" s="437"/>
      <c r="L6" s="436" t="s">
        <v>74</v>
      </c>
      <c r="M6" s="460"/>
      <c r="N6" s="460"/>
      <c r="O6" s="437"/>
      <c r="P6" s="436" t="s">
        <v>74</v>
      </c>
      <c r="Q6" s="460"/>
      <c r="R6" s="460"/>
      <c r="S6" s="437"/>
    </row>
    <row r="7" spans="2:20" ht="15.75" thickBot="1" x14ac:dyDescent="0.3">
      <c r="B7" s="445"/>
      <c r="C7" s="446"/>
      <c r="D7" s="418">
        <v>13036</v>
      </c>
      <c r="E7" s="419"/>
      <c r="F7" s="419"/>
      <c r="G7" s="435"/>
      <c r="H7" s="418"/>
      <c r="I7" s="419"/>
      <c r="J7" s="419"/>
      <c r="K7" s="435"/>
      <c r="L7" s="418"/>
      <c r="M7" s="419"/>
      <c r="N7" s="419"/>
      <c r="O7" s="419"/>
      <c r="P7" s="418"/>
      <c r="Q7" s="419"/>
      <c r="R7" s="419"/>
      <c r="S7" s="435"/>
    </row>
    <row r="8" spans="2:20" ht="15.75" thickBot="1" x14ac:dyDescent="0.3">
      <c r="B8" s="445"/>
      <c r="C8" s="446"/>
      <c r="D8" s="436" t="s">
        <v>75</v>
      </c>
      <c r="E8" s="460"/>
      <c r="F8" s="460"/>
      <c r="G8" s="437"/>
      <c r="H8" s="418" t="s">
        <v>76</v>
      </c>
      <c r="I8" s="419"/>
      <c r="J8" s="419"/>
      <c r="K8" s="435"/>
      <c r="L8" s="418" t="s">
        <v>76</v>
      </c>
      <c r="M8" s="419"/>
      <c r="N8" s="419"/>
      <c r="O8" s="435"/>
      <c r="P8" s="418" t="s">
        <v>76</v>
      </c>
      <c r="Q8" s="419"/>
      <c r="R8" s="419"/>
      <c r="S8" s="435"/>
    </row>
    <row r="9" spans="2:20" ht="15.75" thickBot="1" x14ac:dyDescent="0.3">
      <c r="B9" s="445"/>
      <c r="C9" s="446"/>
      <c r="D9" s="418" t="s">
        <v>237</v>
      </c>
      <c r="E9" s="419"/>
      <c r="F9" s="419"/>
      <c r="G9" s="435"/>
      <c r="H9" s="418"/>
      <c r="I9" s="419"/>
      <c r="J9" s="419"/>
      <c r="K9" s="435"/>
      <c r="L9" s="418"/>
      <c r="M9" s="419"/>
      <c r="N9" s="419"/>
      <c r="O9" s="435"/>
      <c r="P9" s="418"/>
      <c r="Q9" s="419"/>
      <c r="R9" s="419"/>
      <c r="S9" s="435"/>
    </row>
    <row r="10" spans="2:20" ht="15.75" thickBot="1" x14ac:dyDescent="0.3">
      <c r="B10" s="445"/>
      <c r="C10" s="446"/>
      <c r="D10" s="436" t="s">
        <v>69</v>
      </c>
      <c r="E10" s="460"/>
      <c r="F10" s="460"/>
      <c r="G10" s="437"/>
      <c r="H10" s="418" t="s">
        <v>69</v>
      </c>
      <c r="I10" s="419"/>
      <c r="J10" s="419"/>
      <c r="K10" s="435"/>
      <c r="L10" s="418" t="s">
        <v>69</v>
      </c>
      <c r="M10" s="419"/>
      <c r="N10" s="419"/>
      <c r="O10" s="435"/>
      <c r="P10" s="418" t="s">
        <v>69</v>
      </c>
      <c r="Q10" s="419"/>
      <c r="R10" s="419"/>
      <c r="S10" s="435"/>
    </row>
    <row r="11" spans="2:20" ht="15.75" thickBot="1" x14ac:dyDescent="0.3">
      <c r="B11" s="447"/>
      <c r="C11" s="448"/>
      <c r="D11" s="418" t="s">
        <v>95</v>
      </c>
      <c r="E11" s="419"/>
      <c r="F11" s="419"/>
      <c r="G11" s="435"/>
      <c r="H11" s="418"/>
      <c r="I11" s="419"/>
      <c r="J11" s="419"/>
      <c r="K11" s="435"/>
      <c r="L11" s="418"/>
      <c r="M11" s="419"/>
      <c r="N11" s="419"/>
      <c r="O11" s="435"/>
      <c r="P11" s="418"/>
      <c r="Q11" s="419"/>
      <c r="R11" s="419"/>
      <c r="S11" s="435"/>
    </row>
    <row r="12" spans="2:20" ht="15.75" thickBot="1" x14ac:dyDescent="0.3">
      <c r="B12" s="28" t="s">
        <v>77</v>
      </c>
      <c r="C12" s="29" t="s">
        <v>78</v>
      </c>
      <c r="D12" s="375" t="s">
        <v>14</v>
      </c>
      <c r="E12" s="245"/>
      <c r="F12" s="461" t="s">
        <v>15</v>
      </c>
      <c r="G12" s="462"/>
      <c r="H12" s="461" t="s">
        <v>14</v>
      </c>
      <c r="I12" s="462"/>
      <c r="J12" s="461" t="s">
        <v>15</v>
      </c>
      <c r="K12" s="462"/>
      <c r="L12" s="461" t="s">
        <v>14</v>
      </c>
      <c r="M12" s="462"/>
      <c r="N12" s="461" t="s">
        <v>15</v>
      </c>
      <c r="O12" s="462"/>
      <c r="P12" s="461" t="s">
        <v>14</v>
      </c>
      <c r="Q12" s="462"/>
      <c r="R12" s="461" t="s">
        <v>15</v>
      </c>
      <c r="S12" s="462"/>
    </row>
    <row r="13" spans="2:20" ht="19.5" thickBot="1" x14ac:dyDescent="0.3">
      <c r="B13" s="433" t="s">
        <v>204</v>
      </c>
      <c r="C13" s="37">
        <v>1</v>
      </c>
      <c r="D13" s="375"/>
      <c r="E13" s="245"/>
      <c r="F13" s="375"/>
      <c r="G13" s="245"/>
      <c r="H13" s="375"/>
      <c r="I13" s="245"/>
      <c r="J13" s="375"/>
      <c r="K13" s="245"/>
      <c r="L13" s="375"/>
      <c r="M13" s="245"/>
      <c r="N13" s="375"/>
      <c r="O13" s="245"/>
      <c r="P13" s="375"/>
      <c r="Q13" s="245"/>
      <c r="R13" s="375"/>
      <c r="S13" s="245"/>
      <c r="T13" t="s">
        <v>223</v>
      </c>
    </row>
    <row r="14" spans="2:20" ht="19.5" thickBot="1" x14ac:dyDescent="0.3">
      <c r="B14" s="434"/>
      <c r="C14" s="45">
        <v>2</v>
      </c>
      <c r="D14" s="375"/>
      <c r="E14" s="245"/>
      <c r="F14" s="375"/>
      <c r="G14" s="245"/>
      <c r="H14" s="375"/>
      <c r="I14" s="245"/>
      <c r="J14" s="375"/>
      <c r="K14" s="245"/>
      <c r="L14" s="375"/>
      <c r="M14" s="245"/>
      <c r="N14" s="375"/>
      <c r="O14" s="245"/>
      <c r="P14" s="375"/>
      <c r="Q14" s="245"/>
      <c r="R14" s="375"/>
      <c r="S14" s="245"/>
    </row>
    <row r="15" spans="2:20" ht="19.5" thickBot="1" x14ac:dyDescent="0.3">
      <c r="B15" s="434"/>
      <c r="C15" s="45">
        <v>3</v>
      </c>
      <c r="D15" s="375"/>
      <c r="E15" s="245"/>
      <c r="F15" s="375"/>
      <c r="G15" s="245"/>
      <c r="H15" s="375"/>
      <c r="I15" s="245"/>
      <c r="J15" s="375"/>
      <c r="K15" s="245"/>
      <c r="L15" s="375"/>
      <c r="M15" s="245"/>
      <c r="N15" s="375"/>
      <c r="O15" s="245"/>
      <c r="P15" s="375"/>
      <c r="Q15" s="245"/>
      <c r="R15" s="375"/>
      <c r="S15" s="245"/>
    </row>
    <row r="16" spans="2:20" ht="19.5" thickBot="1" x14ac:dyDescent="0.3">
      <c r="B16" s="434"/>
      <c r="C16" s="45">
        <v>4</v>
      </c>
      <c r="D16" s="375"/>
      <c r="E16" s="245"/>
      <c r="F16" s="375"/>
      <c r="G16" s="245"/>
      <c r="H16" s="375"/>
      <c r="I16" s="245"/>
      <c r="J16" s="375"/>
      <c r="K16" s="245"/>
      <c r="L16" s="375"/>
      <c r="M16" s="245"/>
      <c r="N16" s="375"/>
      <c r="O16" s="245"/>
      <c r="P16" s="375"/>
      <c r="Q16" s="245"/>
      <c r="R16" s="375"/>
      <c r="S16" s="245"/>
    </row>
    <row r="17" spans="1:19" ht="19.5" thickBot="1" x14ac:dyDescent="0.3">
      <c r="B17" s="434"/>
      <c r="C17" s="45">
        <v>5</v>
      </c>
      <c r="D17" s="375"/>
      <c r="E17" s="245"/>
      <c r="F17" s="375"/>
      <c r="G17" s="245"/>
      <c r="H17" s="375"/>
      <c r="I17" s="245"/>
      <c r="J17" s="375"/>
      <c r="K17" s="245"/>
      <c r="L17" s="375"/>
      <c r="M17" s="245"/>
      <c r="N17" s="375"/>
      <c r="O17" s="245"/>
      <c r="P17" s="375"/>
      <c r="Q17" s="245"/>
      <c r="R17" s="375"/>
      <c r="S17" s="245"/>
    </row>
    <row r="18" spans="1:19" ht="19.5" thickBot="1" x14ac:dyDescent="0.3">
      <c r="B18" s="434"/>
      <c r="C18" s="45">
        <v>6</v>
      </c>
      <c r="D18" s="375"/>
      <c r="E18" s="245"/>
      <c r="F18" s="375"/>
      <c r="G18" s="245"/>
      <c r="H18" s="375"/>
      <c r="I18" s="245"/>
      <c r="J18" s="375"/>
      <c r="K18" s="245"/>
      <c r="L18" s="375"/>
      <c r="M18" s="245"/>
      <c r="N18" s="375"/>
      <c r="O18" s="245"/>
      <c r="P18" s="375"/>
      <c r="Q18" s="245"/>
      <c r="R18" s="375"/>
      <c r="S18" s="245"/>
    </row>
    <row r="19" spans="1:19" ht="19.5" thickBot="1" x14ac:dyDescent="0.3">
      <c r="B19" s="434"/>
      <c r="C19" s="45">
        <v>7</v>
      </c>
      <c r="D19" s="375"/>
      <c r="E19" s="245"/>
      <c r="F19" s="375"/>
      <c r="G19" s="245"/>
      <c r="H19" s="375"/>
      <c r="I19" s="245"/>
      <c r="J19" s="375"/>
      <c r="K19" s="245"/>
      <c r="L19" s="375"/>
      <c r="M19" s="245"/>
      <c r="N19" s="375"/>
      <c r="O19" s="245"/>
      <c r="P19" s="375"/>
      <c r="Q19" s="245"/>
      <c r="R19" s="375"/>
      <c r="S19" s="245"/>
    </row>
    <row r="20" spans="1:19" ht="19.5" thickBot="1" x14ac:dyDescent="0.3">
      <c r="B20" s="434"/>
      <c r="C20" s="45">
        <v>8</v>
      </c>
      <c r="D20" s="375"/>
      <c r="E20" s="245"/>
      <c r="F20" s="375"/>
      <c r="G20" s="245"/>
      <c r="H20" s="375"/>
      <c r="I20" s="245"/>
      <c r="J20" s="375"/>
      <c r="K20" s="245"/>
      <c r="L20" s="375"/>
      <c r="M20" s="245"/>
      <c r="N20" s="375"/>
      <c r="O20" s="245"/>
      <c r="P20" s="375"/>
      <c r="Q20" s="245"/>
      <c r="R20" s="375"/>
      <c r="S20" s="245"/>
    </row>
    <row r="21" spans="1:19" ht="19.5" thickBot="1" x14ac:dyDescent="0.3">
      <c r="B21" s="434"/>
      <c r="C21" s="45">
        <v>9</v>
      </c>
      <c r="D21" s="375"/>
      <c r="E21" s="245"/>
      <c r="F21" s="375"/>
      <c r="G21" s="245"/>
      <c r="H21" s="375"/>
      <c r="I21" s="245"/>
      <c r="J21" s="375"/>
      <c r="K21" s="245"/>
      <c r="L21" s="375"/>
      <c r="M21" s="245"/>
      <c r="N21" s="375"/>
      <c r="O21" s="245"/>
      <c r="P21" s="375"/>
      <c r="Q21" s="245"/>
      <c r="R21" s="375"/>
      <c r="S21" s="245"/>
    </row>
    <row r="22" spans="1:19" ht="19.5" thickBot="1" x14ac:dyDescent="0.3">
      <c r="B22" s="434"/>
      <c r="C22" s="45">
        <v>10</v>
      </c>
      <c r="D22" s="375"/>
      <c r="E22" s="245"/>
      <c r="F22" s="375"/>
      <c r="G22" s="245"/>
      <c r="H22" s="375"/>
      <c r="I22" s="245"/>
      <c r="J22" s="375"/>
      <c r="K22" s="245"/>
      <c r="L22" s="375"/>
      <c r="M22" s="245"/>
      <c r="N22" s="375"/>
      <c r="O22" s="245"/>
      <c r="P22" s="375"/>
      <c r="Q22" s="245"/>
      <c r="R22" s="375"/>
      <c r="S22" s="245"/>
    </row>
    <row r="23" spans="1:19" ht="19.5" thickBot="1" x14ac:dyDescent="0.3">
      <c r="B23" s="434"/>
      <c r="C23" s="45">
        <v>11</v>
      </c>
      <c r="D23" s="375"/>
      <c r="E23" s="245"/>
      <c r="F23" s="375"/>
      <c r="G23" s="245"/>
      <c r="H23" s="375"/>
      <c r="I23" s="245"/>
      <c r="J23" s="375"/>
      <c r="K23" s="245"/>
      <c r="L23" s="375"/>
      <c r="M23" s="245"/>
      <c r="N23" s="375"/>
      <c r="O23" s="245"/>
      <c r="P23" s="375"/>
      <c r="Q23" s="245"/>
      <c r="R23" s="375"/>
      <c r="S23" s="245"/>
    </row>
    <row r="24" spans="1:19" ht="19.5" thickBot="1" x14ac:dyDescent="0.3">
      <c r="B24" s="434"/>
      <c r="C24" s="45">
        <v>12</v>
      </c>
      <c r="D24" s="375"/>
      <c r="E24" s="245"/>
      <c r="F24" s="375"/>
      <c r="G24" s="245"/>
      <c r="H24" s="375"/>
      <c r="I24" s="245"/>
      <c r="J24" s="375"/>
      <c r="K24" s="245"/>
      <c r="L24" s="375"/>
      <c r="M24" s="245"/>
      <c r="N24" s="375"/>
      <c r="O24" s="245"/>
      <c r="P24" s="375"/>
      <c r="Q24" s="245"/>
      <c r="R24" s="375"/>
      <c r="S24" s="245"/>
    </row>
    <row r="25" spans="1:19" ht="19.5" thickBot="1" x14ac:dyDescent="0.3">
      <c r="B25" s="434"/>
      <c r="C25" s="45">
        <v>13</v>
      </c>
      <c r="D25" s="375"/>
      <c r="E25" s="245"/>
      <c r="F25" s="375"/>
      <c r="G25" s="245"/>
      <c r="H25" s="375"/>
      <c r="I25" s="245"/>
      <c r="J25" s="375"/>
      <c r="K25" s="245"/>
      <c r="L25" s="375"/>
      <c r="M25" s="245"/>
      <c r="N25" s="375"/>
      <c r="O25" s="245"/>
      <c r="P25" s="375"/>
      <c r="Q25" s="245"/>
      <c r="R25" s="375"/>
      <c r="S25" s="245"/>
    </row>
    <row r="26" spans="1:19" ht="19.5" thickBot="1" x14ac:dyDescent="0.3">
      <c r="B26" s="434"/>
      <c r="C26" s="45">
        <v>14</v>
      </c>
      <c r="D26" s="375"/>
      <c r="E26" s="245"/>
      <c r="F26" s="375"/>
      <c r="G26" s="245"/>
      <c r="H26" s="375"/>
      <c r="I26" s="245"/>
      <c r="J26" s="375"/>
      <c r="K26" s="245"/>
      <c r="L26" s="375"/>
      <c r="M26" s="245"/>
      <c r="N26" s="375"/>
      <c r="O26" s="245"/>
      <c r="P26" s="375"/>
      <c r="Q26" s="245"/>
      <c r="R26" s="375"/>
      <c r="S26" s="245"/>
    </row>
    <row r="27" spans="1:19" ht="19.5" thickBot="1" x14ac:dyDescent="0.3">
      <c r="B27" s="434"/>
      <c r="C27" s="45">
        <v>15</v>
      </c>
      <c r="D27" s="375"/>
      <c r="E27" s="245"/>
      <c r="F27" s="375"/>
      <c r="G27" s="245"/>
      <c r="H27" s="375"/>
      <c r="I27" s="245"/>
      <c r="J27" s="375"/>
      <c r="K27" s="245"/>
      <c r="L27" s="375"/>
      <c r="M27" s="245"/>
      <c r="N27" s="375"/>
      <c r="O27" s="245"/>
      <c r="P27" s="375"/>
      <c r="Q27" s="245"/>
      <c r="R27" s="375"/>
      <c r="S27" s="245"/>
    </row>
    <row r="28" spans="1:19" ht="19.5" thickBot="1" x14ac:dyDescent="0.3">
      <c r="B28" s="434"/>
      <c r="C28" s="45">
        <v>16</v>
      </c>
      <c r="D28" s="375"/>
      <c r="E28" s="245"/>
      <c r="F28" s="375"/>
      <c r="G28" s="245"/>
      <c r="H28" s="375"/>
      <c r="I28" s="245"/>
      <c r="J28" s="375"/>
      <c r="K28" s="245"/>
      <c r="L28" s="375"/>
      <c r="M28" s="245"/>
      <c r="N28" s="375"/>
      <c r="O28" s="245"/>
      <c r="P28" s="375"/>
      <c r="Q28" s="245"/>
      <c r="R28" s="375"/>
      <c r="S28" s="245"/>
    </row>
    <row r="29" spans="1:19" ht="19.5" thickBot="1" x14ac:dyDescent="0.3">
      <c r="B29" s="434"/>
      <c r="C29" s="45">
        <v>17</v>
      </c>
      <c r="D29" s="375"/>
      <c r="E29" s="245"/>
      <c r="F29" s="375"/>
      <c r="G29" s="245"/>
      <c r="H29" s="375"/>
      <c r="I29" s="245"/>
      <c r="J29" s="375"/>
      <c r="K29" s="245"/>
      <c r="L29" s="375"/>
      <c r="M29" s="245"/>
      <c r="N29" s="375"/>
      <c r="O29" s="245"/>
      <c r="P29" s="375"/>
      <c r="Q29" s="245"/>
      <c r="R29" s="375"/>
      <c r="S29" s="245"/>
    </row>
    <row r="30" spans="1:19" ht="19.5" thickBot="1" x14ac:dyDescent="0.3">
      <c r="A30" s="25"/>
      <c r="B30" s="434"/>
      <c r="C30" s="45">
        <v>18</v>
      </c>
      <c r="D30" s="375"/>
      <c r="E30" s="245"/>
      <c r="F30" s="375"/>
      <c r="G30" s="245"/>
      <c r="H30" s="375"/>
      <c r="I30" s="245"/>
      <c r="J30" s="375"/>
      <c r="K30" s="245"/>
      <c r="L30" s="375"/>
      <c r="M30" s="245"/>
      <c r="N30" s="375"/>
      <c r="O30" s="245"/>
      <c r="P30" s="375"/>
      <c r="Q30" s="245"/>
      <c r="R30" s="375"/>
      <c r="S30" s="245"/>
    </row>
    <row r="31" spans="1:19" ht="19.5" thickBot="1" x14ac:dyDescent="0.3">
      <c r="A31" s="25"/>
      <c r="B31" s="434"/>
      <c r="C31" s="45">
        <v>19</v>
      </c>
      <c r="D31" s="375"/>
      <c r="E31" s="245"/>
      <c r="F31" s="375"/>
      <c r="G31" s="245"/>
      <c r="H31" s="375"/>
      <c r="I31" s="245"/>
      <c r="J31" s="375"/>
      <c r="K31" s="245"/>
      <c r="L31" s="375"/>
      <c r="M31" s="245"/>
      <c r="N31" s="375"/>
      <c r="O31" s="245"/>
      <c r="P31" s="375"/>
      <c r="Q31" s="245"/>
      <c r="R31" s="375"/>
      <c r="S31" s="245"/>
    </row>
    <row r="32" spans="1:19" ht="19.5" thickBot="1" x14ac:dyDescent="0.3">
      <c r="A32" s="25"/>
      <c r="B32" s="434"/>
      <c r="C32" s="45">
        <v>20</v>
      </c>
      <c r="D32" s="375"/>
      <c r="E32" s="245"/>
      <c r="F32" s="375"/>
      <c r="G32" s="245"/>
      <c r="H32" s="375"/>
      <c r="I32" s="245"/>
      <c r="J32" s="375"/>
      <c r="K32" s="245"/>
      <c r="L32" s="375"/>
      <c r="M32" s="245"/>
      <c r="N32" s="375"/>
      <c r="O32" s="245"/>
      <c r="P32" s="375"/>
      <c r="Q32" s="245"/>
      <c r="R32" s="375"/>
      <c r="S32" s="245"/>
    </row>
    <row r="33" spans="1:19" ht="19.5" thickBot="1" x14ac:dyDescent="0.3">
      <c r="A33" s="25"/>
      <c r="B33" s="434"/>
      <c r="C33" s="45">
        <v>21</v>
      </c>
      <c r="D33" s="375"/>
      <c r="E33" s="245"/>
      <c r="F33" s="375"/>
      <c r="G33" s="245"/>
      <c r="H33" s="375"/>
      <c r="I33" s="245"/>
      <c r="J33" s="375"/>
      <c r="K33" s="245"/>
      <c r="L33" s="375"/>
      <c r="M33" s="245"/>
      <c r="N33" s="375"/>
      <c r="O33" s="245"/>
      <c r="P33" s="375"/>
      <c r="Q33" s="245"/>
      <c r="R33" s="375"/>
      <c r="S33" s="245"/>
    </row>
    <row r="34" spans="1:19" ht="19.5" thickBot="1" x14ac:dyDescent="0.3">
      <c r="A34" s="25"/>
      <c r="B34" s="434"/>
      <c r="C34" s="45">
        <v>22</v>
      </c>
      <c r="D34" s="375"/>
      <c r="E34" s="245"/>
      <c r="F34" s="375"/>
      <c r="G34" s="245"/>
      <c r="H34" s="375"/>
      <c r="I34" s="245"/>
      <c r="J34" s="375"/>
      <c r="K34" s="245"/>
      <c r="L34" s="375"/>
      <c r="M34" s="245"/>
      <c r="N34" s="375"/>
      <c r="O34" s="245"/>
      <c r="P34" s="375"/>
      <c r="Q34" s="245"/>
      <c r="R34" s="375"/>
      <c r="S34" s="245"/>
    </row>
    <row r="35" spans="1:19" ht="19.5" thickBot="1" x14ac:dyDescent="0.3">
      <c r="A35" s="25"/>
      <c r="B35" s="434"/>
      <c r="C35" s="45">
        <v>23</v>
      </c>
      <c r="D35" s="375"/>
      <c r="E35" s="245"/>
      <c r="F35" s="375"/>
      <c r="G35" s="245"/>
      <c r="H35" s="375"/>
      <c r="I35" s="245"/>
      <c r="J35" s="375"/>
      <c r="K35" s="245"/>
      <c r="L35" s="375"/>
      <c r="M35" s="245"/>
      <c r="N35" s="375"/>
      <c r="O35" s="245"/>
      <c r="P35" s="375"/>
      <c r="Q35" s="245"/>
      <c r="R35" s="375"/>
      <c r="S35" s="245"/>
    </row>
    <row r="36" spans="1:19" ht="19.5" thickBot="1" x14ac:dyDescent="0.3">
      <c r="A36" s="25"/>
      <c r="B36" s="434"/>
      <c r="C36" s="45">
        <v>24</v>
      </c>
      <c r="D36" s="375"/>
      <c r="E36" s="245"/>
      <c r="F36" s="375"/>
      <c r="G36" s="245"/>
      <c r="H36" s="375"/>
      <c r="I36" s="245"/>
      <c r="J36" s="375"/>
      <c r="K36" s="245"/>
      <c r="L36" s="375"/>
      <c r="M36" s="245"/>
      <c r="N36" s="375"/>
      <c r="O36" s="245"/>
      <c r="P36" s="375"/>
      <c r="Q36" s="245"/>
      <c r="R36" s="375"/>
      <c r="S36" s="245"/>
    </row>
    <row r="37" spans="1:19" ht="19.5" thickBot="1" x14ac:dyDescent="0.3">
      <c r="B37" s="434"/>
      <c r="C37" s="45">
        <v>25</v>
      </c>
      <c r="D37" s="375"/>
      <c r="E37" s="245"/>
      <c r="F37" s="375"/>
      <c r="G37" s="245"/>
      <c r="H37" s="375"/>
      <c r="I37" s="245"/>
      <c r="J37" s="375"/>
      <c r="K37" s="245"/>
      <c r="L37" s="375"/>
      <c r="M37" s="245"/>
      <c r="N37" s="375"/>
      <c r="O37" s="245"/>
      <c r="P37" s="375"/>
      <c r="Q37" s="245"/>
      <c r="R37" s="375"/>
      <c r="S37" s="245"/>
    </row>
    <row r="38" spans="1:19" ht="19.5" thickBot="1" x14ac:dyDescent="0.3">
      <c r="B38" s="434"/>
      <c r="C38" s="45">
        <v>26</v>
      </c>
      <c r="D38" s="375"/>
      <c r="E38" s="245"/>
      <c r="F38" s="375"/>
      <c r="G38" s="245"/>
      <c r="H38" s="375"/>
      <c r="I38" s="245"/>
      <c r="J38" s="375"/>
      <c r="K38" s="245"/>
      <c r="L38" s="375"/>
      <c r="M38" s="245"/>
      <c r="N38" s="375"/>
      <c r="O38" s="245"/>
      <c r="P38" s="375"/>
      <c r="Q38" s="245"/>
      <c r="R38" s="375"/>
      <c r="S38" s="245"/>
    </row>
    <row r="39" spans="1:19" ht="19.5" thickBot="1" x14ac:dyDescent="0.3">
      <c r="B39" s="434"/>
      <c r="C39" s="45">
        <v>27</v>
      </c>
      <c r="D39" s="375"/>
      <c r="E39" s="245"/>
      <c r="F39" s="375"/>
      <c r="G39" s="245"/>
      <c r="H39" s="375"/>
      <c r="I39" s="245"/>
      <c r="J39" s="375"/>
      <c r="K39" s="245"/>
      <c r="L39" s="375"/>
      <c r="M39" s="245"/>
      <c r="N39" s="375"/>
      <c r="O39" s="245"/>
      <c r="P39" s="375"/>
      <c r="Q39" s="245"/>
      <c r="R39" s="375"/>
      <c r="S39" s="245"/>
    </row>
    <row r="40" spans="1:19" ht="19.5" thickBot="1" x14ac:dyDescent="0.3">
      <c r="B40" s="434"/>
      <c r="C40" s="45">
        <v>28</v>
      </c>
      <c r="D40" s="375"/>
      <c r="E40" s="245"/>
      <c r="F40" s="375"/>
      <c r="G40" s="245"/>
      <c r="H40" s="375"/>
      <c r="I40" s="245"/>
      <c r="J40" s="375"/>
      <c r="K40" s="245"/>
      <c r="L40" s="375"/>
      <c r="M40" s="245"/>
      <c r="N40" s="375"/>
      <c r="O40" s="245"/>
      <c r="P40" s="375"/>
      <c r="Q40" s="245"/>
      <c r="R40" s="375"/>
      <c r="S40" s="245"/>
    </row>
    <row r="41" spans="1:19" ht="19.5" thickBot="1" x14ac:dyDescent="0.3">
      <c r="B41" s="434"/>
      <c r="C41" s="45">
        <v>29</v>
      </c>
      <c r="D41" s="375"/>
      <c r="E41" s="245"/>
      <c r="F41" s="375"/>
      <c r="G41" s="245"/>
      <c r="H41" s="375"/>
      <c r="I41" s="245"/>
      <c r="J41" s="375"/>
      <c r="K41" s="245"/>
      <c r="L41" s="375"/>
      <c r="M41" s="245"/>
      <c r="N41" s="375"/>
      <c r="O41" s="245"/>
      <c r="P41" s="375"/>
      <c r="Q41" s="245"/>
      <c r="R41" s="375"/>
      <c r="S41" s="245"/>
    </row>
    <row r="42" spans="1:19" ht="19.5" thickBot="1" x14ac:dyDescent="0.3">
      <c r="B42" s="434"/>
      <c r="C42" s="45">
        <v>30</v>
      </c>
      <c r="D42" s="375"/>
      <c r="E42" s="245"/>
      <c r="F42" s="375"/>
      <c r="G42" s="245"/>
      <c r="H42" s="375"/>
      <c r="I42" s="245"/>
      <c r="J42" s="375"/>
      <c r="K42" s="245"/>
      <c r="L42" s="375"/>
      <c r="M42" s="245"/>
      <c r="N42" s="375"/>
      <c r="O42" s="245"/>
      <c r="P42" s="375"/>
      <c r="Q42" s="245"/>
      <c r="R42" s="375"/>
      <c r="S42" s="245"/>
    </row>
    <row r="43" spans="1:19" ht="19.5" thickBot="1" x14ac:dyDescent="0.3">
      <c r="B43" s="434"/>
      <c r="C43" s="50">
        <v>31</v>
      </c>
      <c r="D43" s="375"/>
      <c r="E43" s="245"/>
      <c r="F43" s="375"/>
      <c r="G43" s="245"/>
      <c r="H43" s="375"/>
      <c r="I43" s="245"/>
      <c r="J43" s="375"/>
      <c r="K43" s="245"/>
      <c r="L43" s="375"/>
      <c r="M43" s="245"/>
      <c r="N43" s="375"/>
      <c r="O43" s="245"/>
      <c r="P43" s="375"/>
      <c r="Q43" s="245"/>
      <c r="R43" s="375"/>
      <c r="S43" s="245"/>
    </row>
    <row r="44" spans="1:19" ht="15" customHeight="1" x14ac:dyDescent="0.25">
      <c r="B44" s="191" t="s">
        <v>205</v>
      </c>
      <c r="C44" s="192"/>
      <c r="D44" s="192"/>
      <c r="E44" s="192"/>
      <c r="F44" s="192"/>
      <c r="G44" s="192"/>
      <c r="H44" s="192"/>
      <c r="I44" s="192"/>
      <c r="J44" s="193"/>
      <c r="K44" s="191" t="s">
        <v>199</v>
      </c>
      <c r="L44" s="192"/>
      <c r="M44" s="192"/>
      <c r="N44" s="192"/>
      <c r="O44" s="192"/>
      <c r="P44" s="192"/>
      <c r="Q44" s="192"/>
      <c r="R44" s="192"/>
      <c r="S44" s="193"/>
    </row>
    <row r="45" spans="1:19" ht="15" customHeight="1" x14ac:dyDescent="0.25">
      <c r="B45" s="194"/>
      <c r="C45" s="195"/>
      <c r="D45" s="195"/>
      <c r="E45" s="195"/>
      <c r="F45" s="195"/>
      <c r="G45" s="195"/>
      <c r="H45" s="195"/>
      <c r="I45" s="195"/>
      <c r="J45" s="196"/>
      <c r="K45" s="194"/>
      <c r="L45" s="195"/>
      <c r="M45" s="195"/>
      <c r="N45" s="195"/>
      <c r="O45" s="195"/>
      <c r="P45" s="195"/>
      <c r="Q45" s="195"/>
      <c r="R45" s="195"/>
      <c r="S45" s="196"/>
    </row>
    <row r="46" spans="1:19" ht="15" customHeight="1" x14ac:dyDescent="0.25">
      <c r="B46" s="194"/>
      <c r="C46" s="195"/>
      <c r="D46" s="195"/>
      <c r="E46" s="195"/>
      <c r="F46" s="195"/>
      <c r="G46" s="195"/>
      <c r="H46" s="195"/>
      <c r="I46" s="195"/>
      <c r="J46" s="196"/>
      <c r="K46" s="194"/>
      <c r="L46" s="195"/>
      <c r="M46" s="195"/>
      <c r="N46" s="195"/>
      <c r="O46" s="195"/>
      <c r="P46" s="195"/>
      <c r="Q46" s="195"/>
      <c r="R46" s="195"/>
      <c r="S46" s="196"/>
    </row>
    <row r="47" spans="1:19" x14ac:dyDescent="0.25">
      <c r="B47" s="194"/>
      <c r="C47" s="195"/>
      <c r="D47" s="195"/>
      <c r="E47" s="195"/>
      <c r="F47" s="195"/>
      <c r="G47" s="195"/>
      <c r="H47" s="195"/>
      <c r="I47" s="195"/>
      <c r="J47" s="196"/>
      <c r="K47" s="194"/>
      <c r="L47" s="195"/>
      <c r="M47" s="195"/>
      <c r="N47" s="195"/>
      <c r="O47" s="195"/>
      <c r="P47" s="195"/>
      <c r="Q47" s="195"/>
      <c r="R47" s="195"/>
      <c r="S47" s="196"/>
    </row>
    <row r="48" spans="1:19" x14ac:dyDescent="0.25">
      <c r="B48" s="194"/>
      <c r="C48" s="195"/>
      <c r="D48" s="195"/>
      <c r="E48" s="195"/>
      <c r="F48" s="195"/>
      <c r="G48" s="195"/>
      <c r="H48" s="195"/>
      <c r="I48" s="195"/>
      <c r="J48" s="196"/>
      <c r="K48" s="194"/>
      <c r="L48" s="195"/>
      <c r="M48" s="195"/>
      <c r="N48" s="195"/>
      <c r="O48" s="195"/>
      <c r="P48" s="195"/>
      <c r="Q48" s="195"/>
      <c r="R48" s="195"/>
      <c r="S48" s="196"/>
    </row>
    <row r="49" spans="2:19" ht="15.75" thickBot="1" x14ac:dyDescent="0.3">
      <c r="B49" s="197"/>
      <c r="C49" s="198"/>
      <c r="D49" s="198"/>
      <c r="E49" s="198"/>
      <c r="F49" s="198"/>
      <c r="G49" s="198"/>
      <c r="H49" s="198"/>
      <c r="I49" s="198"/>
      <c r="J49" s="199"/>
      <c r="K49" s="197"/>
      <c r="L49" s="198"/>
      <c r="M49" s="198"/>
      <c r="N49" s="198"/>
      <c r="O49" s="198"/>
      <c r="P49" s="198"/>
      <c r="Q49" s="198"/>
      <c r="R49" s="198"/>
      <c r="S49" s="199"/>
    </row>
  </sheetData>
  <mergeCells count="295">
    <mergeCell ref="B1:C1"/>
    <mergeCell ref="D1:N1"/>
    <mergeCell ref="O1:S1"/>
    <mergeCell ref="B2:S2"/>
    <mergeCell ref="B3:S3"/>
    <mergeCell ref="C4:L4"/>
    <mergeCell ref="M4:N4"/>
    <mergeCell ref="O4:S4"/>
    <mergeCell ref="C5:L5"/>
    <mergeCell ref="M5:N5"/>
    <mergeCell ref="O5:S5"/>
    <mergeCell ref="B6:C11"/>
    <mergeCell ref="D6:G6"/>
    <mergeCell ref="H6:K6"/>
    <mergeCell ref="L6:O6"/>
    <mergeCell ref="P6:S6"/>
    <mergeCell ref="D7:G7"/>
    <mergeCell ref="H7:K7"/>
    <mergeCell ref="D9:G9"/>
    <mergeCell ref="H9:K9"/>
    <mergeCell ref="L9:O9"/>
    <mergeCell ref="P9:S9"/>
    <mergeCell ref="D10:G10"/>
    <mergeCell ref="H10:K10"/>
    <mergeCell ref="L10:O10"/>
    <mergeCell ref="P10:S10"/>
    <mergeCell ref="L7:O7"/>
    <mergeCell ref="P7:S7"/>
    <mergeCell ref="D8:G8"/>
    <mergeCell ref="H8:K8"/>
    <mergeCell ref="L8:O8"/>
    <mergeCell ref="P8:S8"/>
    <mergeCell ref="D11:G11"/>
    <mergeCell ref="H11:K11"/>
    <mergeCell ref="L11:O11"/>
    <mergeCell ref="P11:S11"/>
    <mergeCell ref="D12:E12"/>
    <mergeCell ref="F12:G12"/>
    <mergeCell ref="H12:I12"/>
    <mergeCell ref="J12:K12"/>
    <mergeCell ref="L12:M12"/>
    <mergeCell ref="N12:O12"/>
    <mergeCell ref="P12:Q12"/>
    <mergeCell ref="R12:S12"/>
    <mergeCell ref="N14:O14"/>
    <mergeCell ref="P14:Q14"/>
    <mergeCell ref="R14:S14"/>
    <mergeCell ref="P15:Q15"/>
    <mergeCell ref="R15:S15"/>
    <mergeCell ref="D16:E16"/>
    <mergeCell ref="F16:G16"/>
    <mergeCell ref="H16:I16"/>
    <mergeCell ref="J16:K16"/>
    <mergeCell ref="L16:M16"/>
    <mergeCell ref="N16:O16"/>
    <mergeCell ref="P16:Q16"/>
    <mergeCell ref="R16:S16"/>
    <mergeCell ref="D15:E15"/>
    <mergeCell ref="F15:G15"/>
    <mergeCell ref="H15:I15"/>
    <mergeCell ref="J15:K15"/>
    <mergeCell ref="L15:M15"/>
    <mergeCell ref="N15:O15"/>
    <mergeCell ref="P17:Q17"/>
    <mergeCell ref="R17:S17"/>
    <mergeCell ref="D18:E18"/>
    <mergeCell ref="F18:G18"/>
    <mergeCell ref="H18:I18"/>
    <mergeCell ref="J18:K18"/>
    <mergeCell ref="L18:M18"/>
    <mergeCell ref="N18:O18"/>
    <mergeCell ref="P18:Q18"/>
    <mergeCell ref="R18:S18"/>
    <mergeCell ref="D17:E17"/>
    <mergeCell ref="F17:G17"/>
    <mergeCell ref="H17:I17"/>
    <mergeCell ref="J17:K17"/>
    <mergeCell ref="L17:M17"/>
    <mergeCell ref="N17:O17"/>
    <mergeCell ref="P19:Q19"/>
    <mergeCell ref="R19:S19"/>
    <mergeCell ref="D20:E20"/>
    <mergeCell ref="F20:G20"/>
    <mergeCell ref="H20:I20"/>
    <mergeCell ref="J20:K20"/>
    <mergeCell ref="L20:M20"/>
    <mergeCell ref="N20:O20"/>
    <mergeCell ref="P20:Q20"/>
    <mergeCell ref="R20:S20"/>
    <mergeCell ref="D19:E19"/>
    <mergeCell ref="F19:G19"/>
    <mergeCell ref="H19:I19"/>
    <mergeCell ref="J19:K19"/>
    <mergeCell ref="L19:M19"/>
    <mergeCell ref="N19:O19"/>
    <mergeCell ref="P21:Q21"/>
    <mergeCell ref="R21:S21"/>
    <mergeCell ref="D22:E22"/>
    <mergeCell ref="F22:G22"/>
    <mergeCell ref="H22:I22"/>
    <mergeCell ref="J22:K22"/>
    <mergeCell ref="L22:M22"/>
    <mergeCell ref="N22:O22"/>
    <mergeCell ref="P22:Q22"/>
    <mergeCell ref="R22:S22"/>
    <mergeCell ref="D21:E21"/>
    <mergeCell ref="F21:G21"/>
    <mergeCell ref="H21:I21"/>
    <mergeCell ref="J21:K21"/>
    <mergeCell ref="L21:M21"/>
    <mergeCell ref="N21:O21"/>
    <mergeCell ref="P23:Q23"/>
    <mergeCell ref="R23:S23"/>
    <mergeCell ref="D24:E24"/>
    <mergeCell ref="F24:G24"/>
    <mergeCell ref="H24:I24"/>
    <mergeCell ref="J24:K24"/>
    <mergeCell ref="L24:M24"/>
    <mergeCell ref="N24:O24"/>
    <mergeCell ref="P24:Q24"/>
    <mergeCell ref="R24:S24"/>
    <mergeCell ref="D23:E23"/>
    <mergeCell ref="F23:G23"/>
    <mergeCell ref="H23:I23"/>
    <mergeCell ref="J23:K23"/>
    <mergeCell ref="L23:M23"/>
    <mergeCell ref="N23:O23"/>
    <mergeCell ref="P25:Q25"/>
    <mergeCell ref="R25:S25"/>
    <mergeCell ref="D26:E26"/>
    <mergeCell ref="F26:G26"/>
    <mergeCell ref="H26:I26"/>
    <mergeCell ref="J26:K26"/>
    <mergeCell ref="L26:M26"/>
    <mergeCell ref="N26:O26"/>
    <mergeCell ref="P26:Q26"/>
    <mergeCell ref="R26:S26"/>
    <mergeCell ref="D25:E25"/>
    <mergeCell ref="F25:G25"/>
    <mergeCell ref="H25:I25"/>
    <mergeCell ref="J25:K25"/>
    <mergeCell ref="L25:M25"/>
    <mergeCell ref="N25:O25"/>
    <mergeCell ref="P27:Q27"/>
    <mergeCell ref="R27:S27"/>
    <mergeCell ref="D28:E28"/>
    <mergeCell ref="F28:G28"/>
    <mergeCell ref="H28:I28"/>
    <mergeCell ref="J28:K28"/>
    <mergeCell ref="L28:M28"/>
    <mergeCell ref="N28:O28"/>
    <mergeCell ref="P28:Q28"/>
    <mergeCell ref="R28:S28"/>
    <mergeCell ref="D27:E27"/>
    <mergeCell ref="F27:G27"/>
    <mergeCell ref="H27:I27"/>
    <mergeCell ref="J27:K27"/>
    <mergeCell ref="L27:M27"/>
    <mergeCell ref="N27:O27"/>
    <mergeCell ref="P29:Q29"/>
    <mergeCell ref="R29:S29"/>
    <mergeCell ref="D30:E30"/>
    <mergeCell ref="F30:G30"/>
    <mergeCell ref="H30:I30"/>
    <mergeCell ref="J30:K30"/>
    <mergeCell ref="L30:M30"/>
    <mergeCell ref="N30:O30"/>
    <mergeCell ref="P30:Q30"/>
    <mergeCell ref="R30:S30"/>
    <mergeCell ref="D29:E29"/>
    <mergeCell ref="F29:G29"/>
    <mergeCell ref="H29:I29"/>
    <mergeCell ref="J29:K29"/>
    <mergeCell ref="L29:M29"/>
    <mergeCell ref="N29:O29"/>
    <mergeCell ref="P31:Q31"/>
    <mergeCell ref="R31:S31"/>
    <mergeCell ref="D32:E32"/>
    <mergeCell ref="F32:G32"/>
    <mergeCell ref="H32:I32"/>
    <mergeCell ref="J32:K32"/>
    <mergeCell ref="L32:M32"/>
    <mergeCell ref="N32:O32"/>
    <mergeCell ref="P32:Q32"/>
    <mergeCell ref="R32:S32"/>
    <mergeCell ref="D31:E31"/>
    <mergeCell ref="F31:G31"/>
    <mergeCell ref="H31:I31"/>
    <mergeCell ref="J31:K31"/>
    <mergeCell ref="L31:M31"/>
    <mergeCell ref="N31:O31"/>
    <mergeCell ref="P33:Q33"/>
    <mergeCell ref="R33:S33"/>
    <mergeCell ref="D34:E34"/>
    <mergeCell ref="F34:G34"/>
    <mergeCell ref="H34:I34"/>
    <mergeCell ref="J34:K34"/>
    <mergeCell ref="L34:M34"/>
    <mergeCell ref="N34:O34"/>
    <mergeCell ref="P34:Q34"/>
    <mergeCell ref="R34:S34"/>
    <mergeCell ref="D33:E33"/>
    <mergeCell ref="F33:G33"/>
    <mergeCell ref="H33:I33"/>
    <mergeCell ref="J33:K33"/>
    <mergeCell ref="L33:M33"/>
    <mergeCell ref="N33:O33"/>
    <mergeCell ref="P35:Q35"/>
    <mergeCell ref="R35:S35"/>
    <mergeCell ref="D36:E36"/>
    <mergeCell ref="F36:G36"/>
    <mergeCell ref="H36:I36"/>
    <mergeCell ref="J36:K36"/>
    <mergeCell ref="L36:M36"/>
    <mergeCell ref="N36:O36"/>
    <mergeCell ref="P36:Q36"/>
    <mergeCell ref="R36:S36"/>
    <mergeCell ref="D35:E35"/>
    <mergeCell ref="F35:G35"/>
    <mergeCell ref="H35:I35"/>
    <mergeCell ref="J35:K35"/>
    <mergeCell ref="L35:M35"/>
    <mergeCell ref="N35:O35"/>
    <mergeCell ref="P37:Q37"/>
    <mergeCell ref="R37:S37"/>
    <mergeCell ref="D38:E38"/>
    <mergeCell ref="F38:G38"/>
    <mergeCell ref="H38:I38"/>
    <mergeCell ref="J38:K38"/>
    <mergeCell ref="L38:M38"/>
    <mergeCell ref="N38:O38"/>
    <mergeCell ref="P38:Q38"/>
    <mergeCell ref="R38:S38"/>
    <mergeCell ref="D37:E37"/>
    <mergeCell ref="F37:G37"/>
    <mergeCell ref="H37:I37"/>
    <mergeCell ref="J37:K37"/>
    <mergeCell ref="L37:M37"/>
    <mergeCell ref="N37:O37"/>
    <mergeCell ref="P39:Q39"/>
    <mergeCell ref="R39:S39"/>
    <mergeCell ref="D40:E40"/>
    <mergeCell ref="F40:G40"/>
    <mergeCell ref="H40:I40"/>
    <mergeCell ref="J40:K40"/>
    <mergeCell ref="L40:M40"/>
    <mergeCell ref="N40:O40"/>
    <mergeCell ref="P40:Q40"/>
    <mergeCell ref="R40:S40"/>
    <mergeCell ref="D39:E39"/>
    <mergeCell ref="F39:G39"/>
    <mergeCell ref="H39:I39"/>
    <mergeCell ref="J39:K39"/>
    <mergeCell ref="L39:M39"/>
    <mergeCell ref="N39:O39"/>
    <mergeCell ref="P41:Q41"/>
    <mergeCell ref="R41:S41"/>
    <mergeCell ref="D42:E42"/>
    <mergeCell ref="F42:G42"/>
    <mergeCell ref="H42:I42"/>
    <mergeCell ref="J42:K42"/>
    <mergeCell ref="L42:M42"/>
    <mergeCell ref="N42:O42"/>
    <mergeCell ref="P42:Q42"/>
    <mergeCell ref="R42:S42"/>
    <mergeCell ref="D41:E41"/>
    <mergeCell ref="F41:G41"/>
    <mergeCell ref="H41:I41"/>
    <mergeCell ref="J41:K41"/>
    <mergeCell ref="L41:M41"/>
    <mergeCell ref="N41:O41"/>
    <mergeCell ref="P43:Q43"/>
    <mergeCell ref="R43:S43"/>
    <mergeCell ref="B44:J49"/>
    <mergeCell ref="K44:S49"/>
    <mergeCell ref="D43:E43"/>
    <mergeCell ref="F43:G43"/>
    <mergeCell ref="H43:I43"/>
    <mergeCell ref="J43:K43"/>
    <mergeCell ref="L43:M43"/>
    <mergeCell ref="N43:O43"/>
    <mergeCell ref="B13:B43"/>
    <mergeCell ref="D13:E13"/>
    <mergeCell ref="F13:G13"/>
    <mergeCell ref="H13:I13"/>
    <mergeCell ref="J13:K13"/>
    <mergeCell ref="L13:M13"/>
    <mergeCell ref="N13:O13"/>
    <mergeCell ref="P13:Q13"/>
    <mergeCell ref="R13:S13"/>
    <mergeCell ref="D14:E14"/>
    <mergeCell ref="F14:G14"/>
    <mergeCell ref="H14:I14"/>
    <mergeCell ref="J14:K14"/>
    <mergeCell ref="L14:M14"/>
  </mergeCells>
  <pageMargins left="0.7" right="0.7" top="0.75" bottom="0.75" header="0.3" footer="0.3"/>
  <pageSetup scale="74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B050"/>
    <pageSetUpPr fitToPage="1"/>
  </sheetPr>
  <dimension ref="A1:T49"/>
  <sheetViews>
    <sheetView zoomScaleNormal="100" workbookViewId="0">
      <selection activeCell="L16" sqref="L16:M16"/>
    </sheetView>
  </sheetViews>
  <sheetFormatPr baseColWidth="10" defaultRowHeight="15" x14ac:dyDescent="0.25"/>
  <cols>
    <col min="1" max="1" width="2.5703125" style="2" customWidth="1"/>
    <col min="2" max="2" width="13.7109375" style="2" customWidth="1"/>
    <col min="3" max="3" width="5.28515625" style="2" bestFit="1" customWidth="1"/>
    <col min="4" max="4" width="5.7109375" style="2" customWidth="1"/>
    <col min="5" max="5" width="4.42578125" style="2" customWidth="1"/>
    <col min="6" max="19" width="5.7109375" style="2" customWidth="1"/>
    <col min="20" max="20" width="0" hidden="1" customWidth="1"/>
  </cols>
  <sheetData>
    <row r="1" spans="2:20" ht="77.25" customHeight="1" thickBot="1" x14ac:dyDescent="0.3">
      <c r="B1" s="452"/>
      <c r="C1" s="373"/>
      <c r="D1" s="453" t="s">
        <v>206</v>
      </c>
      <c r="E1" s="456"/>
      <c r="F1" s="456"/>
      <c r="G1" s="456"/>
      <c r="H1" s="456"/>
      <c r="I1" s="456"/>
      <c r="J1" s="456"/>
      <c r="K1" s="456"/>
      <c r="L1" s="456"/>
      <c r="M1" s="456"/>
      <c r="N1" s="457"/>
      <c r="O1" s="370"/>
      <c r="P1" s="371"/>
      <c r="Q1" s="371"/>
      <c r="R1" s="371"/>
      <c r="S1" s="372"/>
    </row>
    <row r="2" spans="2:20" ht="15.75" thickBot="1" x14ac:dyDescent="0.3">
      <c r="B2" s="375" t="s">
        <v>72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5"/>
    </row>
    <row r="3" spans="2:20" ht="15.75" thickBot="1" x14ac:dyDescent="0.3">
      <c r="B3" s="375" t="s">
        <v>136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5"/>
    </row>
    <row r="4" spans="2:20" x14ac:dyDescent="0.25">
      <c r="B4" s="26" t="s">
        <v>58</v>
      </c>
      <c r="C4" s="247" t="s">
        <v>96</v>
      </c>
      <c r="D4" s="247"/>
      <c r="E4" s="247"/>
      <c r="F4" s="247"/>
      <c r="G4" s="247"/>
      <c r="H4" s="247"/>
      <c r="I4" s="247"/>
      <c r="J4" s="247"/>
      <c r="K4" s="247"/>
      <c r="L4" s="449"/>
      <c r="M4" s="450" t="s">
        <v>5</v>
      </c>
      <c r="N4" s="451"/>
      <c r="O4" s="247" t="s">
        <v>224</v>
      </c>
      <c r="P4" s="247"/>
      <c r="Q4" s="247"/>
      <c r="R4" s="247"/>
      <c r="S4" s="449"/>
    </row>
    <row r="5" spans="2:20" ht="15.75" thickBot="1" x14ac:dyDescent="0.3">
      <c r="B5" s="27" t="s">
        <v>4</v>
      </c>
      <c r="C5" s="438" t="s">
        <v>282</v>
      </c>
      <c r="D5" s="439"/>
      <c r="E5" s="439"/>
      <c r="F5" s="439"/>
      <c r="G5" s="439"/>
      <c r="H5" s="439"/>
      <c r="I5" s="439"/>
      <c r="J5" s="439"/>
      <c r="K5" s="439"/>
      <c r="L5" s="440"/>
      <c r="M5" s="441" t="s">
        <v>73</v>
      </c>
      <c r="N5" s="442"/>
      <c r="O5" s="443"/>
      <c r="P5" s="443"/>
      <c r="Q5" s="443"/>
      <c r="R5" s="443"/>
      <c r="S5" s="444"/>
    </row>
    <row r="6" spans="2:20" ht="15.75" thickBot="1" x14ac:dyDescent="0.3">
      <c r="B6" s="337"/>
      <c r="C6" s="338"/>
      <c r="D6" s="436" t="s">
        <v>74</v>
      </c>
      <c r="E6" s="460"/>
      <c r="F6" s="460"/>
      <c r="G6" s="437"/>
      <c r="H6" s="436" t="s">
        <v>74</v>
      </c>
      <c r="I6" s="460"/>
      <c r="J6" s="460"/>
      <c r="K6" s="437"/>
      <c r="L6" s="436" t="s">
        <v>74</v>
      </c>
      <c r="M6" s="460"/>
      <c r="N6" s="460"/>
      <c r="O6" s="437"/>
      <c r="P6" s="436" t="s">
        <v>74</v>
      </c>
      <c r="Q6" s="460"/>
      <c r="R6" s="460"/>
      <c r="S6" s="437"/>
    </row>
    <row r="7" spans="2:20" ht="15.75" thickBot="1" x14ac:dyDescent="0.3">
      <c r="B7" s="445"/>
      <c r="C7" s="446"/>
      <c r="D7" s="418" t="s">
        <v>283</v>
      </c>
      <c r="E7" s="419"/>
      <c r="F7" s="419"/>
      <c r="G7" s="435"/>
      <c r="H7" s="418"/>
      <c r="I7" s="419"/>
      <c r="J7" s="419"/>
      <c r="K7" s="435"/>
      <c r="L7" s="418"/>
      <c r="M7" s="419"/>
      <c r="N7" s="419"/>
      <c r="O7" s="419"/>
      <c r="P7" s="418"/>
      <c r="Q7" s="419"/>
      <c r="R7" s="419"/>
      <c r="S7" s="435"/>
    </row>
    <row r="8" spans="2:20" ht="15.75" thickBot="1" x14ac:dyDescent="0.3">
      <c r="B8" s="445"/>
      <c r="C8" s="446"/>
      <c r="D8" s="436" t="s">
        <v>75</v>
      </c>
      <c r="E8" s="460"/>
      <c r="F8" s="460"/>
      <c r="G8" s="437"/>
      <c r="H8" s="418" t="s">
        <v>76</v>
      </c>
      <c r="I8" s="419"/>
      <c r="J8" s="419"/>
      <c r="K8" s="435"/>
      <c r="L8" s="418" t="s">
        <v>76</v>
      </c>
      <c r="M8" s="419"/>
      <c r="N8" s="419"/>
      <c r="O8" s="435"/>
      <c r="P8" s="418" t="s">
        <v>76</v>
      </c>
      <c r="Q8" s="419"/>
      <c r="R8" s="419"/>
      <c r="S8" s="435"/>
    </row>
    <row r="9" spans="2:20" ht="15.75" thickBot="1" x14ac:dyDescent="0.3">
      <c r="B9" s="445"/>
      <c r="C9" s="446"/>
      <c r="D9" s="418" t="s">
        <v>284</v>
      </c>
      <c r="E9" s="419"/>
      <c r="F9" s="419"/>
      <c r="G9" s="435"/>
      <c r="H9" s="418"/>
      <c r="I9" s="419"/>
      <c r="J9" s="419"/>
      <c r="K9" s="435"/>
      <c r="L9" s="418"/>
      <c r="M9" s="419"/>
      <c r="N9" s="419"/>
      <c r="O9" s="435"/>
      <c r="P9" s="418"/>
      <c r="Q9" s="419"/>
      <c r="R9" s="419"/>
      <c r="S9" s="435"/>
    </row>
    <row r="10" spans="2:20" ht="15.75" thickBot="1" x14ac:dyDescent="0.3">
      <c r="B10" s="445"/>
      <c r="C10" s="446"/>
      <c r="D10" s="436" t="s">
        <v>69</v>
      </c>
      <c r="E10" s="460"/>
      <c r="F10" s="460"/>
      <c r="G10" s="437"/>
      <c r="H10" s="418" t="s">
        <v>69</v>
      </c>
      <c r="I10" s="419"/>
      <c r="J10" s="419"/>
      <c r="K10" s="435"/>
      <c r="L10" s="418" t="s">
        <v>69</v>
      </c>
      <c r="M10" s="419"/>
      <c r="N10" s="419"/>
      <c r="O10" s="435"/>
      <c r="P10" s="418" t="s">
        <v>69</v>
      </c>
      <c r="Q10" s="419"/>
      <c r="R10" s="419"/>
      <c r="S10" s="435"/>
    </row>
    <row r="11" spans="2:20" ht="15.75" thickBot="1" x14ac:dyDescent="0.3">
      <c r="B11" s="447"/>
      <c r="C11" s="448"/>
      <c r="D11" s="418" t="s">
        <v>95</v>
      </c>
      <c r="E11" s="419"/>
      <c r="F11" s="419"/>
      <c r="G11" s="435"/>
      <c r="H11" s="418"/>
      <c r="I11" s="419"/>
      <c r="J11" s="419"/>
      <c r="K11" s="435"/>
      <c r="L11" s="418"/>
      <c r="M11" s="419"/>
      <c r="N11" s="419"/>
      <c r="O11" s="435"/>
      <c r="P11" s="418"/>
      <c r="Q11" s="419"/>
      <c r="R11" s="419"/>
      <c r="S11" s="435"/>
    </row>
    <row r="12" spans="2:20" ht="15.75" thickBot="1" x14ac:dyDescent="0.3">
      <c r="B12" s="28" t="s">
        <v>77</v>
      </c>
      <c r="C12" s="29" t="s">
        <v>78</v>
      </c>
      <c r="D12" s="375" t="s">
        <v>14</v>
      </c>
      <c r="E12" s="245"/>
      <c r="F12" s="461" t="s">
        <v>15</v>
      </c>
      <c r="G12" s="462"/>
      <c r="H12" s="461" t="s">
        <v>14</v>
      </c>
      <c r="I12" s="462"/>
      <c r="J12" s="461" t="s">
        <v>15</v>
      </c>
      <c r="K12" s="462"/>
      <c r="L12" s="461" t="s">
        <v>14</v>
      </c>
      <c r="M12" s="462"/>
      <c r="N12" s="461" t="s">
        <v>15</v>
      </c>
      <c r="O12" s="462"/>
      <c r="P12" s="461" t="s">
        <v>14</v>
      </c>
      <c r="Q12" s="462"/>
      <c r="R12" s="461" t="s">
        <v>15</v>
      </c>
      <c r="S12" s="462"/>
    </row>
    <row r="13" spans="2:20" ht="19.5" thickBot="1" x14ac:dyDescent="0.3">
      <c r="B13" s="433" t="s">
        <v>204</v>
      </c>
      <c r="C13" s="37">
        <v>1</v>
      </c>
      <c r="D13" s="375"/>
      <c r="E13" s="245"/>
      <c r="F13" s="375"/>
      <c r="G13" s="245"/>
      <c r="H13" s="375"/>
      <c r="I13" s="245"/>
      <c r="J13" s="375"/>
      <c r="K13" s="245"/>
      <c r="L13" s="375"/>
      <c r="M13" s="245"/>
      <c r="N13" s="375"/>
      <c r="O13" s="245"/>
      <c r="P13" s="375"/>
      <c r="Q13" s="245"/>
      <c r="R13" s="375"/>
      <c r="S13" s="245"/>
      <c r="T13" t="s">
        <v>223</v>
      </c>
    </row>
    <row r="14" spans="2:20" ht="19.5" thickBot="1" x14ac:dyDescent="0.3">
      <c r="B14" s="434"/>
      <c r="C14" s="45">
        <v>2</v>
      </c>
      <c r="D14" s="375"/>
      <c r="E14" s="245"/>
      <c r="F14" s="375"/>
      <c r="G14" s="245"/>
      <c r="H14" s="375"/>
      <c r="I14" s="245"/>
      <c r="J14" s="375"/>
      <c r="K14" s="245"/>
      <c r="L14" s="375"/>
      <c r="M14" s="245"/>
      <c r="N14" s="375"/>
      <c r="O14" s="245"/>
      <c r="P14" s="375"/>
      <c r="Q14" s="245"/>
      <c r="R14" s="375"/>
      <c r="S14" s="245"/>
    </row>
    <row r="15" spans="2:20" ht="19.5" thickBot="1" x14ac:dyDescent="0.3">
      <c r="B15" s="434"/>
      <c r="C15" s="45">
        <v>3</v>
      </c>
      <c r="D15" s="375"/>
      <c r="E15" s="245"/>
      <c r="F15" s="375"/>
      <c r="G15" s="245"/>
      <c r="H15" s="375"/>
      <c r="I15" s="245"/>
      <c r="J15" s="375"/>
      <c r="K15" s="245"/>
      <c r="L15" s="375"/>
      <c r="M15" s="245"/>
      <c r="N15" s="375"/>
      <c r="O15" s="245"/>
      <c r="P15" s="375"/>
      <c r="Q15" s="245"/>
      <c r="R15" s="375"/>
      <c r="S15" s="245"/>
    </row>
    <row r="16" spans="2:20" ht="19.5" thickBot="1" x14ac:dyDescent="0.3">
      <c r="B16" s="434"/>
      <c r="C16" s="45">
        <v>4</v>
      </c>
      <c r="D16" s="375"/>
      <c r="E16" s="245"/>
      <c r="F16" s="375"/>
      <c r="G16" s="245"/>
      <c r="H16" s="375"/>
      <c r="I16" s="245"/>
      <c r="J16" s="375"/>
      <c r="K16" s="245"/>
      <c r="L16" s="375"/>
      <c r="M16" s="245"/>
      <c r="N16" s="375"/>
      <c r="O16" s="245"/>
      <c r="P16" s="375"/>
      <c r="Q16" s="245"/>
      <c r="R16" s="375"/>
      <c r="S16" s="245"/>
    </row>
    <row r="17" spans="1:19" ht="19.5" thickBot="1" x14ac:dyDescent="0.3">
      <c r="B17" s="434"/>
      <c r="C17" s="45">
        <v>5</v>
      </c>
      <c r="D17" s="375"/>
      <c r="E17" s="245"/>
      <c r="F17" s="375"/>
      <c r="G17" s="245"/>
      <c r="H17" s="375"/>
      <c r="I17" s="245"/>
      <c r="J17" s="375"/>
      <c r="K17" s="245"/>
      <c r="L17" s="375"/>
      <c r="M17" s="245"/>
      <c r="N17" s="375"/>
      <c r="O17" s="245"/>
      <c r="P17" s="375"/>
      <c r="Q17" s="245"/>
      <c r="R17" s="375"/>
      <c r="S17" s="245"/>
    </row>
    <row r="18" spans="1:19" ht="19.5" thickBot="1" x14ac:dyDescent="0.3">
      <c r="B18" s="434"/>
      <c r="C18" s="45">
        <v>6</v>
      </c>
      <c r="D18" s="375"/>
      <c r="E18" s="245"/>
      <c r="F18" s="375"/>
      <c r="G18" s="245"/>
      <c r="H18" s="375"/>
      <c r="I18" s="245"/>
      <c r="J18" s="375"/>
      <c r="K18" s="245"/>
      <c r="L18" s="375"/>
      <c r="M18" s="245"/>
      <c r="N18" s="375"/>
      <c r="O18" s="245"/>
      <c r="P18" s="375"/>
      <c r="Q18" s="245"/>
      <c r="R18" s="375"/>
      <c r="S18" s="245"/>
    </row>
    <row r="19" spans="1:19" ht="19.5" thickBot="1" x14ac:dyDescent="0.3">
      <c r="B19" s="434"/>
      <c r="C19" s="45">
        <v>7</v>
      </c>
      <c r="D19" s="375"/>
      <c r="E19" s="245"/>
      <c r="F19" s="375"/>
      <c r="G19" s="245"/>
      <c r="H19" s="375"/>
      <c r="I19" s="245"/>
      <c r="J19" s="375"/>
      <c r="K19" s="245"/>
      <c r="L19" s="375"/>
      <c r="M19" s="245"/>
      <c r="N19" s="375"/>
      <c r="O19" s="245"/>
      <c r="P19" s="375"/>
      <c r="Q19" s="245"/>
      <c r="R19" s="375"/>
      <c r="S19" s="245"/>
    </row>
    <row r="20" spans="1:19" ht="19.5" thickBot="1" x14ac:dyDescent="0.3">
      <c r="B20" s="434"/>
      <c r="C20" s="45">
        <v>8</v>
      </c>
      <c r="D20" s="375"/>
      <c r="E20" s="245"/>
      <c r="F20" s="375"/>
      <c r="G20" s="245"/>
      <c r="H20" s="375"/>
      <c r="I20" s="245"/>
      <c r="J20" s="375"/>
      <c r="K20" s="245"/>
      <c r="L20" s="375"/>
      <c r="M20" s="245"/>
      <c r="N20" s="375"/>
      <c r="O20" s="245"/>
      <c r="P20" s="375"/>
      <c r="Q20" s="245"/>
      <c r="R20" s="375"/>
      <c r="S20" s="245"/>
    </row>
    <row r="21" spans="1:19" ht="19.5" thickBot="1" x14ac:dyDescent="0.3">
      <c r="B21" s="434"/>
      <c r="C21" s="45">
        <v>9</v>
      </c>
      <c r="D21" s="375"/>
      <c r="E21" s="245"/>
      <c r="F21" s="375"/>
      <c r="G21" s="245"/>
      <c r="H21" s="375"/>
      <c r="I21" s="245"/>
      <c r="J21" s="375"/>
      <c r="K21" s="245"/>
      <c r="L21" s="375"/>
      <c r="M21" s="245"/>
      <c r="N21" s="375"/>
      <c r="O21" s="245"/>
      <c r="P21" s="375"/>
      <c r="Q21" s="245"/>
      <c r="R21" s="375"/>
      <c r="S21" s="245"/>
    </row>
    <row r="22" spans="1:19" ht="19.5" thickBot="1" x14ac:dyDescent="0.3">
      <c r="B22" s="434"/>
      <c r="C22" s="45">
        <v>10</v>
      </c>
      <c r="D22" s="375"/>
      <c r="E22" s="245"/>
      <c r="F22" s="375"/>
      <c r="G22" s="245"/>
      <c r="H22" s="375"/>
      <c r="I22" s="245"/>
      <c r="J22" s="375"/>
      <c r="K22" s="245"/>
      <c r="L22" s="375"/>
      <c r="M22" s="245"/>
      <c r="N22" s="375"/>
      <c r="O22" s="245"/>
      <c r="P22" s="375"/>
      <c r="Q22" s="245"/>
      <c r="R22" s="375"/>
      <c r="S22" s="245"/>
    </row>
    <row r="23" spans="1:19" ht="19.5" thickBot="1" x14ac:dyDescent="0.3">
      <c r="B23" s="434"/>
      <c r="C23" s="45">
        <v>11</v>
      </c>
      <c r="D23" s="375"/>
      <c r="E23" s="245"/>
      <c r="F23" s="375"/>
      <c r="G23" s="245"/>
      <c r="H23" s="375"/>
      <c r="I23" s="245"/>
      <c r="J23" s="375"/>
      <c r="K23" s="245"/>
      <c r="L23" s="375"/>
      <c r="M23" s="245"/>
      <c r="N23" s="375"/>
      <c r="O23" s="245"/>
      <c r="P23" s="375"/>
      <c r="Q23" s="245"/>
      <c r="R23" s="375"/>
      <c r="S23" s="245"/>
    </row>
    <row r="24" spans="1:19" ht="19.5" thickBot="1" x14ac:dyDescent="0.3">
      <c r="B24" s="434"/>
      <c r="C24" s="45">
        <v>12</v>
      </c>
      <c r="D24" s="375"/>
      <c r="E24" s="245"/>
      <c r="F24" s="375"/>
      <c r="G24" s="245"/>
      <c r="H24" s="375"/>
      <c r="I24" s="245"/>
      <c r="J24" s="375"/>
      <c r="K24" s="245"/>
      <c r="L24" s="375"/>
      <c r="M24" s="245"/>
      <c r="N24" s="375"/>
      <c r="O24" s="245"/>
      <c r="P24" s="375"/>
      <c r="Q24" s="245"/>
      <c r="R24" s="375"/>
      <c r="S24" s="245"/>
    </row>
    <row r="25" spans="1:19" ht="19.5" thickBot="1" x14ac:dyDescent="0.3">
      <c r="B25" s="434"/>
      <c r="C25" s="45">
        <v>13</v>
      </c>
      <c r="D25" s="375"/>
      <c r="E25" s="245"/>
      <c r="F25" s="375"/>
      <c r="G25" s="245"/>
      <c r="H25" s="375"/>
      <c r="I25" s="245"/>
      <c r="J25" s="375"/>
      <c r="K25" s="245"/>
      <c r="L25" s="375"/>
      <c r="M25" s="245"/>
      <c r="N25" s="375"/>
      <c r="O25" s="245"/>
      <c r="P25" s="375"/>
      <c r="Q25" s="245"/>
      <c r="R25" s="375"/>
      <c r="S25" s="245"/>
    </row>
    <row r="26" spans="1:19" ht="19.5" thickBot="1" x14ac:dyDescent="0.3">
      <c r="B26" s="434"/>
      <c r="C26" s="45">
        <v>14</v>
      </c>
      <c r="D26" s="375"/>
      <c r="E26" s="245"/>
      <c r="F26" s="375"/>
      <c r="G26" s="245"/>
      <c r="H26" s="375"/>
      <c r="I26" s="245"/>
      <c r="J26" s="375"/>
      <c r="K26" s="245"/>
      <c r="L26" s="375"/>
      <c r="M26" s="245"/>
      <c r="N26" s="375"/>
      <c r="O26" s="245"/>
      <c r="P26" s="375"/>
      <c r="Q26" s="245"/>
      <c r="R26" s="375"/>
      <c r="S26" s="245"/>
    </row>
    <row r="27" spans="1:19" ht="19.5" thickBot="1" x14ac:dyDescent="0.3">
      <c r="B27" s="434"/>
      <c r="C27" s="45">
        <v>15</v>
      </c>
      <c r="D27" s="375"/>
      <c r="E27" s="245"/>
      <c r="F27" s="375"/>
      <c r="G27" s="245"/>
      <c r="H27" s="375"/>
      <c r="I27" s="245"/>
      <c r="J27" s="375"/>
      <c r="K27" s="245"/>
      <c r="L27" s="375"/>
      <c r="M27" s="245"/>
      <c r="N27" s="375"/>
      <c r="O27" s="245"/>
      <c r="P27" s="375"/>
      <c r="Q27" s="245"/>
      <c r="R27" s="375"/>
      <c r="S27" s="245"/>
    </row>
    <row r="28" spans="1:19" ht="19.5" thickBot="1" x14ac:dyDescent="0.3">
      <c r="B28" s="434"/>
      <c r="C28" s="45">
        <v>16</v>
      </c>
      <c r="D28" s="375"/>
      <c r="E28" s="245"/>
      <c r="F28" s="375"/>
      <c r="G28" s="245"/>
      <c r="H28" s="375"/>
      <c r="I28" s="245"/>
      <c r="J28" s="375"/>
      <c r="K28" s="245"/>
      <c r="L28" s="375"/>
      <c r="M28" s="245"/>
      <c r="N28" s="375"/>
      <c r="O28" s="245"/>
      <c r="P28" s="375"/>
      <c r="Q28" s="245"/>
      <c r="R28" s="375"/>
      <c r="S28" s="245"/>
    </row>
    <row r="29" spans="1:19" ht="19.5" thickBot="1" x14ac:dyDescent="0.3">
      <c r="B29" s="434"/>
      <c r="C29" s="45">
        <v>17</v>
      </c>
      <c r="D29" s="375"/>
      <c r="E29" s="245"/>
      <c r="F29" s="375"/>
      <c r="G29" s="245"/>
      <c r="H29" s="375"/>
      <c r="I29" s="245"/>
      <c r="J29" s="375"/>
      <c r="K29" s="245"/>
      <c r="L29" s="375"/>
      <c r="M29" s="245"/>
      <c r="N29" s="375"/>
      <c r="O29" s="245"/>
      <c r="P29" s="375"/>
      <c r="Q29" s="245"/>
      <c r="R29" s="375"/>
      <c r="S29" s="245"/>
    </row>
    <row r="30" spans="1:19" ht="19.5" thickBot="1" x14ac:dyDescent="0.3">
      <c r="A30" s="25"/>
      <c r="B30" s="434"/>
      <c r="C30" s="45">
        <v>18</v>
      </c>
      <c r="D30" s="375"/>
      <c r="E30" s="245"/>
      <c r="F30" s="375"/>
      <c r="G30" s="245"/>
      <c r="H30" s="375"/>
      <c r="I30" s="245"/>
      <c r="J30" s="375"/>
      <c r="K30" s="245"/>
      <c r="L30" s="375"/>
      <c r="M30" s="245"/>
      <c r="N30" s="375"/>
      <c r="O30" s="245"/>
      <c r="P30" s="375"/>
      <c r="Q30" s="245"/>
      <c r="R30" s="375"/>
      <c r="S30" s="245"/>
    </row>
    <row r="31" spans="1:19" ht="19.5" thickBot="1" x14ac:dyDescent="0.3">
      <c r="A31" s="25"/>
      <c r="B31" s="434"/>
      <c r="C31" s="45">
        <v>19</v>
      </c>
      <c r="D31" s="375"/>
      <c r="E31" s="245"/>
      <c r="F31" s="375"/>
      <c r="G31" s="245"/>
      <c r="H31" s="375"/>
      <c r="I31" s="245"/>
      <c r="J31" s="375"/>
      <c r="K31" s="245"/>
      <c r="L31" s="375"/>
      <c r="M31" s="245"/>
      <c r="N31" s="375"/>
      <c r="O31" s="245"/>
      <c r="P31" s="375"/>
      <c r="Q31" s="245"/>
      <c r="R31" s="375"/>
      <c r="S31" s="245"/>
    </row>
    <row r="32" spans="1:19" ht="19.5" thickBot="1" x14ac:dyDescent="0.3">
      <c r="A32" s="25"/>
      <c r="B32" s="434"/>
      <c r="C32" s="45">
        <v>20</v>
      </c>
      <c r="D32" s="375"/>
      <c r="E32" s="245"/>
      <c r="F32" s="375"/>
      <c r="G32" s="245"/>
      <c r="H32" s="375"/>
      <c r="I32" s="245"/>
      <c r="J32" s="375"/>
      <c r="K32" s="245"/>
      <c r="L32" s="375"/>
      <c r="M32" s="245"/>
      <c r="N32" s="375"/>
      <c r="O32" s="245"/>
      <c r="P32" s="375"/>
      <c r="Q32" s="245"/>
      <c r="R32" s="375"/>
      <c r="S32" s="245"/>
    </row>
    <row r="33" spans="1:19" ht="19.5" thickBot="1" x14ac:dyDescent="0.3">
      <c r="A33" s="25"/>
      <c r="B33" s="434"/>
      <c r="C33" s="45">
        <v>21</v>
      </c>
      <c r="D33" s="375"/>
      <c r="E33" s="245"/>
      <c r="F33" s="375"/>
      <c r="G33" s="245"/>
      <c r="H33" s="375"/>
      <c r="I33" s="245"/>
      <c r="J33" s="375"/>
      <c r="K33" s="245"/>
      <c r="L33" s="375"/>
      <c r="M33" s="245"/>
      <c r="N33" s="375"/>
      <c r="O33" s="245"/>
      <c r="P33" s="375"/>
      <c r="Q33" s="245"/>
      <c r="R33" s="375"/>
      <c r="S33" s="245"/>
    </row>
    <row r="34" spans="1:19" ht="19.5" thickBot="1" x14ac:dyDescent="0.3">
      <c r="A34" s="25"/>
      <c r="B34" s="434"/>
      <c r="C34" s="45">
        <v>22</v>
      </c>
      <c r="D34" s="375"/>
      <c r="E34" s="245"/>
      <c r="F34" s="375"/>
      <c r="G34" s="245"/>
      <c r="H34" s="375"/>
      <c r="I34" s="245"/>
      <c r="J34" s="375"/>
      <c r="K34" s="245"/>
      <c r="L34" s="375"/>
      <c r="M34" s="245"/>
      <c r="N34" s="375"/>
      <c r="O34" s="245"/>
      <c r="P34" s="375"/>
      <c r="Q34" s="245"/>
      <c r="R34" s="375"/>
      <c r="S34" s="245"/>
    </row>
    <row r="35" spans="1:19" ht="19.5" thickBot="1" x14ac:dyDescent="0.3">
      <c r="A35" s="25"/>
      <c r="B35" s="434"/>
      <c r="C35" s="45">
        <v>23</v>
      </c>
      <c r="D35" s="375"/>
      <c r="E35" s="245"/>
      <c r="F35" s="375"/>
      <c r="G35" s="245"/>
      <c r="H35" s="375"/>
      <c r="I35" s="245"/>
      <c r="J35" s="375"/>
      <c r="K35" s="245"/>
      <c r="L35" s="375"/>
      <c r="M35" s="245"/>
      <c r="N35" s="375"/>
      <c r="O35" s="245"/>
      <c r="P35" s="375"/>
      <c r="Q35" s="245"/>
      <c r="R35" s="375"/>
      <c r="S35" s="245"/>
    </row>
    <row r="36" spans="1:19" ht="19.5" thickBot="1" x14ac:dyDescent="0.3">
      <c r="A36" s="25"/>
      <c r="B36" s="434"/>
      <c r="C36" s="45">
        <v>24</v>
      </c>
      <c r="D36" s="375"/>
      <c r="E36" s="245"/>
      <c r="F36" s="375"/>
      <c r="G36" s="245"/>
      <c r="H36" s="375"/>
      <c r="I36" s="245"/>
      <c r="J36" s="375"/>
      <c r="K36" s="245"/>
      <c r="L36" s="375"/>
      <c r="M36" s="245"/>
      <c r="N36" s="375"/>
      <c r="O36" s="245"/>
      <c r="P36" s="375"/>
      <c r="Q36" s="245"/>
      <c r="R36" s="375"/>
      <c r="S36" s="245"/>
    </row>
    <row r="37" spans="1:19" ht="19.5" thickBot="1" x14ac:dyDescent="0.3">
      <c r="B37" s="434"/>
      <c r="C37" s="45">
        <v>25</v>
      </c>
      <c r="D37" s="375"/>
      <c r="E37" s="245"/>
      <c r="F37" s="375"/>
      <c r="G37" s="245"/>
      <c r="H37" s="375"/>
      <c r="I37" s="245"/>
      <c r="J37" s="375"/>
      <c r="K37" s="245"/>
      <c r="L37" s="375"/>
      <c r="M37" s="245"/>
      <c r="N37" s="375"/>
      <c r="O37" s="245"/>
      <c r="P37" s="375"/>
      <c r="Q37" s="245"/>
      <c r="R37" s="375"/>
      <c r="S37" s="245"/>
    </row>
    <row r="38" spans="1:19" ht="19.5" thickBot="1" x14ac:dyDescent="0.3">
      <c r="B38" s="434"/>
      <c r="C38" s="45">
        <v>26</v>
      </c>
      <c r="D38" s="375"/>
      <c r="E38" s="245"/>
      <c r="F38" s="375"/>
      <c r="G38" s="245"/>
      <c r="H38" s="375"/>
      <c r="I38" s="245"/>
      <c r="J38" s="375"/>
      <c r="K38" s="245"/>
      <c r="L38" s="375"/>
      <c r="M38" s="245"/>
      <c r="N38" s="375"/>
      <c r="O38" s="245"/>
      <c r="P38" s="375"/>
      <c r="Q38" s="245"/>
      <c r="R38" s="375"/>
      <c r="S38" s="245"/>
    </row>
    <row r="39" spans="1:19" ht="19.5" thickBot="1" x14ac:dyDescent="0.3">
      <c r="B39" s="434"/>
      <c r="C39" s="45">
        <v>27</v>
      </c>
      <c r="D39" s="375"/>
      <c r="E39" s="245"/>
      <c r="F39" s="375"/>
      <c r="G39" s="245"/>
      <c r="H39" s="375"/>
      <c r="I39" s="245"/>
      <c r="J39" s="375"/>
      <c r="K39" s="245"/>
      <c r="L39" s="375"/>
      <c r="M39" s="245"/>
      <c r="N39" s="375"/>
      <c r="O39" s="245"/>
      <c r="P39" s="375"/>
      <c r="Q39" s="245"/>
      <c r="R39" s="375"/>
      <c r="S39" s="245"/>
    </row>
    <row r="40" spans="1:19" ht="19.5" thickBot="1" x14ac:dyDescent="0.3">
      <c r="B40" s="434"/>
      <c r="C40" s="45">
        <v>28</v>
      </c>
      <c r="D40" s="375"/>
      <c r="E40" s="245"/>
      <c r="F40" s="375"/>
      <c r="G40" s="245"/>
      <c r="H40" s="375"/>
      <c r="I40" s="245"/>
      <c r="J40" s="375"/>
      <c r="K40" s="245"/>
      <c r="L40" s="375"/>
      <c r="M40" s="245"/>
      <c r="N40" s="375"/>
      <c r="O40" s="245"/>
      <c r="P40" s="375"/>
      <c r="Q40" s="245"/>
      <c r="R40" s="375"/>
      <c r="S40" s="245"/>
    </row>
    <row r="41" spans="1:19" ht="19.5" thickBot="1" x14ac:dyDescent="0.3">
      <c r="B41" s="434"/>
      <c r="C41" s="45">
        <v>29</v>
      </c>
      <c r="D41" s="375"/>
      <c r="E41" s="245"/>
      <c r="F41" s="375"/>
      <c r="G41" s="245"/>
      <c r="H41" s="375"/>
      <c r="I41" s="245"/>
      <c r="J41" s="375"/>
      <c r="K41" s="245"/>
      <c r="L41" s="375"/>
      <c r="M41" s="245"/>
      <c r="N41" s="375"/>
      <c r="O41" s="245"/>
      <c r="P41" s="375"/>
      <c r="Q41" s="245"/>
      <c r="R41" s="375"/>
      <c r="S41" s="245"/>
    </row>
    <row r="42" spans="1:19" ht="19.5" thickBot="1" x14ac:dyDescent="0.3">
      <c r="B42" s="434"/>
      <c r="C42" s="45">
        <v>30</v>
      </c>
      <c r="D42" s="375"/>
      <c r="E42" s="245"/>
      <c r="F42" s="375"/>
      <c r="G42" s="245"/>
      <c r="H42" s="375"/>
      <c r="I42" s="245"/>
      <c r="J42" s="375"/>
      <c r="K42" s="245"/>
      <c r="L42" s="375"/>
      <c r="M42" s="245"/>
      <c r="N42" s="375"/>
      <c r="O42" s="245"/>
      <c r="P42" s="375"/>
      <c r="Q42" s="245"/>
      <c r="R42" s="375"/>
      <c r="S42" s="245"/>
    </row>
    <row r="43" spans="1:19" ht="19.5" thickBot="1" x14ac:dyDescent="0.3">
      <c r="B43" s="434"/>
      <c r="C43" s="50">
        <v>31</v>
      </c>
      <c r="D43" s="375"/>
      <c r="E43" s="245"/>
      <c r="F43" s="375"/>
      <c r="G43" s="245"/>
      <c r="H43" s="375"/>
      <c r="I43" s="245"/>
      <c r="J43" s="375"/>
      <c r="K43" s="245"/>
      <c r="L43" s="375"/>
      <c r="M43" s="245"/>
      <c r="N43" s="375"/>
      <c r="O43" s="245"/>
      <c r="P43" s="375"/>
      <c r="Q43" s="245"/>
      <c r="R43" s="375"/>
      <c r="S43" s="245"/>
    </row>
    <row r="44" spans="1:19" ht="15" customHeight="1" x14ac:dyDescent="0.25">
      <c r="B44" s="191" t="s">
        <v>205</v>
      </c>
      <c r="C44" s="192"/>
      <c r="D44" s="192"/>
      <c r="E44" s="192"/>
      <c r="F44" s="192"/>
      <c r="G44" s="192"/>
      <c r="H44" s="192"/>
      <c r="I44" s="192"/>
      <c r="J44" s="193"/>
      <c r="K44" s="191" t="s">
        <v>199</v>
      </c>
      <c r="L44" s="192"/>
      <c r="M44" s="192"/>
      <c r="N44" s="192"/>
      <c r="O44" s="192"/>
      <c r="P44" s="192"/>
      <c r="Q44" s="192"/>
      <c r="R44" s="192"/>
      <c r="S44" s="193"/>
    </row>
    <row r="45" spans="1:19" ht="15" customHeight="1" x14ac:dyDescent="0.25">
      <c r="B45" s="194"/>
      <c r="C45" s="195"/>
      <c r="D45" s="195"/>
      <c r="E45" s="195"/>
      <c r="F45" s="195"/>
      <c r="G45" s="195"/>
      <c r="H45" s="195"/>
      <c r="I45" s="195"/>
      <c r="J45" s="196"/>
      <c r="K45" s="194"/>
      <c r="L45" s="195"/>
      <c r="M45" s="195"/>
      <c r="N45" s="195"/>
      <c r="O45" s="195"/>
      <c r="P45" s="195"/>
      <c r="Q45" s="195"/>
      <c r="R45" s="195"/>
      <c r="S45" s="196"/>
    </row>
    <row r="46" spans="1:19" ht="15" customHeight="1" x14ac:dyDescent="0.25">
      <c r="B46" s="194"/>
      <c r="C46" s="195"/>
      <c r="D46" s="195"/>
      <c r="E46" s="195"/>
      <c r="F46" s="195"/>
      <c r="G46" s="195"/>
      <c r="H46" s="195"/>
      <c r="I46" s="195"/>
      <c r="J46" s="196"/>
      <c r="K46" s="194"/>
      <c r="L46" s="195"/>
      <c r="M46" s="195"/>
      <c r="N46" s="195"/>
      <c r="O46" s="195"/>
      <c r="P46" s="195"/>
      <c r="Q46" s="195"/>
      <c r="R46" s="195"/>
      <c r="S46" s="196"/>
    </row>
    <row r="47" spans="1:19" x14ac:dyDescent="0.25">
      <c r="B47" s="194"/>
      <c r="C47" s="195"/>
      <c r="D47" s="195"/>
      <c r="E47" s="195"/>
      <c r="F47" s="195"/>
      <c r="G47" s="195"/>
      <c r="H47" s="195"/>
      <c r="I47" s="195"/>
      <c r="J47" s="196"/>
      <c r="K47" s="194"/>
      <c r="L47" s="195"/>
      <c r="M47" s="195"/>
      <c r="N47" s="195"/>
      <c r="O47" s="195"/>
      <c r="P47" s="195"/>
      <c r="Q47" s="195"/>
      <c r="R47" s="195"/>
      <c r="S47" s="196"/>
    </row>
    <row r="48" spans="1:19" x14ac:dyDescent="0.25">
      <c r="B48" s="194"/>
      <c r="C48" s="195"/>
      <c r="D48" s="195"/>
      <c r="E48" s="195"/>
      <c r="F48" s="195"/>
      <c r="G48" s="195"/>
      <c r="H48" s="195"/>
      <c r="I48" s="195"/>
      <c r="J48" s="196"/>
      <c r="K48" s="194"/>
      <c r="L48" s="195"/>
      <c r="M48" s="195"/>
      <c r="N48" s="195"/>
      <c r="O48" s="195"/>
      <c r="P48" s="195"/>
      <c r="Q48" s="195"/>
      <c r="R48" s="195"/>
      <c r="S48" s="196"/>
    </row>
    <row r="49" spans="2:19" ht="15.75" thickBot="1" x14ac:dyDescent="0.3">
      <c r="B49" s="197"/>
      <c r="C49" s="198"/>
      <c r="D49" s="198"/>
      <c r="E49" s="198"/>
      <c r="F49" s="198"/>
      <c r="G49" s="198"/>
      <c r="H49" s="198"/>
      <c r="I49" s="198"/>
      <c r="J49" s="199"/>
      <c r="K49" s="197"/>
      <c r="L49" s="198"/>
      <c r="M49" s="198"/>
      <c r="N49" s="198"/>
      <c r="O49" s="198"/>
      <c r="P49" s="198"/>
      <c r="Q49" s="198"/>
      <c r="R49" s="198"/>
      <c r="S49" s="199"/>
    </row>
  </sheetData>
  <mergeCells count="295">
    <mergeCell ref="B1:C1"/>
    <mergeCell ref="D1:N1"/>
    <mergeCell ref="O1:S1"/>
    <mergeCell ref="B2:S2"/>
    <mergeCell ref="B3:S3"/>
    <mergeCell ref="C4:L4"/>
    <mergeCell ref="M4:N4"/>
    <mergeCell ref="O4:S4"/>
    <mergeCell ref="C5:L5"/>
    <mergeCell ref="M5:N5"/>
    <mergeCell ref="O5:S5"/>
    <mergeCell ref="B6:C11"/>
    <mergeCell ref="D6:G6"/>
    <mergeCell ref="H6:K6"/>
    <mergeCell ref="L6:O6"/>
    <mergeCell ref="P6:S6"/>
    <mergeCell ref="D7:G7"/>
    <mergeCell ref="H7:K7"/>
    <mergeCell ref="D9:G9"/>
    <mergeCell ref="H9:K9"/>
    <mergeCell ref="L9:O9"/>
    <mergeCell ref="P9:S9"/>
    <mergeCell ref="D10:G10"/>
    <mergeCell ref="H10:K10"/>
    <mergeCell ref="L10:O10"/>
    <mergeCell ref="P10:S10"/>
    <mergeCell ref="L7:O7"/>
    <mergeCell ref="P7:S7"/>
    <mergeCell ref="D8:G8"/>
    <mergeCell ref="H8:K8"/>
    <mergeCell ref="L8:O8"/>
    <mergeCell ref="P8:S8"/>
    <mergeCell ref="D11:G11"/>
    <mergeCell ref="H11:K11"/>
    <mergeCell ref="L11:O11"/>
    <mergeCell ref="P11:S11"/>
    <mergeCell ref="D12:E12"/>
    <mergeCell ref="F12:G12"/>
    <mergeCell ref="H12:I12"/>
    <mergeCell ref="J12:K12"/>
    <mergeCell ref="L12:M12"/>
    <mergeCell ref="N12:O12"/>
    <mergeCell ref="P12:Q12"/>
    <mergeCell ref="R12:S12"/>
    <mergeCell ref="N14:O14"/>
    <mergeCell ref="P14:Q14"/>
    <mergeCell ref="R14:S14"/>
    <mergeCell ref="P15:Q15"/>
    <mergeCell ref="R15:S15"/>
    <mergeCell ref="D16:E16"/>
    <mergeCell ref="F16:G16"/>
    <mergeCell ref="H16:I16"/>
    <mergeCell ref="J16:K16"/>
    <mergeCell ref="L16:M16"/>
    <mergeCell ref="N16:O16"/>
    <mergeCell ref="P16:Q16"/>
    <mergeCell ref="R16:S16"/>
    <mergeCell ref="D15:E15"/>
    <mergeCell ref="F15:G15"/>
    <mergeCell ref="H15:I15"/>
    <mergeCell ref="J15:K15"/>
    <mergeCell ref="L15:M15"/>
    <mergeCell ref="N15:O15"/>
    <mergeCell ref="P17:Q17"/>
    <mergeCell ref="R17:S17"/>
    <mergeCell ref="D18:E18"/>
    <mergeCell ref="F18:G18"/>
    <mergeCell ref="H18:I18"/>
    <mergeCell ref="J18:K18"/>
    <mergeCell ref="L18:M18"/>
    <mergeCell ref="N18:O18"/>
    <mergeCell ref="P18:Q18"/>
    <mergeCell ref="R18:S18"/>
    <mergeCell ref="D17:E17"/>
    <mergeCell ref="F17:G17"/>
    <mergeCell ref="H17:I17"/>
    <mergeCell ref="J17:K17"/>
    <mergeCell ref="L17:M17"/>
    <mergeCell ref="N17:O17"/>
    <mergeCell ref="P19:Q19"/>
    <mergeCell ref="R19:S19"/>
    <mergeCell ref="D20:E20"/>
    <mergeCell ref="F20:G20"/>
    <mergeCell ref="H20:I20"/>
    <mergeCell ref="J20:K20"/>
    <mergeCell ref="L20:M20"/>
    <mergeCell ref="N20:O20"/>
    <mergeCell ref="P20:Q20"/>
    <mergeCell ref="R20:S20"/>
    <mergeCell ref="D19:E19"/>
    <mergeCell ref="F19:G19"/>
    <mergeCell ref="H19:I19"/>
    <mergeCell ref="J19:K19"/>
    <mergeCell ref="L19:M19"/>
    <mergeCell ref="N19:O19"/>
    <mergeCell ref="P21:Q21"/>
    <mergeCell ref="R21:S21"/>
    <mergeCell ref="D22:E22"/>
    <mergeCell ref="F22:G22"/>
    <mergeCell ref="H22:I22"/>
    <mergeCell ref="J22:K22"/>
    <mergeCell ref="L22:M22"/>
    <mergeCell ref="N22:O22"/>
    <mergeCell ref="P22:Q22"/>
    <mergeCell ref="R22:S22"/>
    <mergeCell ref="D21:E21"/>
    <mergeCell ref="F21:G21"/>
    <mergeCell ref="H21:I21"/>
    <mergeCell ref="J21:K21"/>
    <mergeCell ref="L21:M21"/>
    <mergeCell ref="N21:O21"/>
    <mergeCell ref="P23:Q23"/>
    <mergeCell ref="R23:S23"/>
    <mergeCell ref="D24:E24"/>
    <mergeCell ref="F24:G24"/>
    <mergeCell ref="H24:I24"/>
    <mergeCell ref="J24:K24"/>
    <mergeCell ref="L24:M24"/>
    <mergeCell ref="N24:O24"/>
    <mergeCell ref="P24:Q24"/>
    <mergeCell ref="R24:S24"/>
    <mergeCell ref="D23:E23"/>
    <mergeCell ref="F23:G23"/>
    <mergeCell ref="H23:I23"/>
    <mergeCell ref="J23:K23"/>
    <mergeCell ref="L23:M23"/>
    <mergeCell ref="N23:O23"/>
    <mergeCell ref="P25:Q25"/>
    <mergeCell ref="R25:S25"/>
    <mergeCell ref="D26:E26"/>
    <mergeCell ref="F26:G26"/>
    <mergeCell ref="H26:I26"/>
    <mergeCell ref="J26:K26"/>
    <mergeCell ref="L26:M26"/>
    <mergeCell ref="N26:O26"/>
    <mergeCell ref="P26:Q26"/>
    <mergeCell ref="R26:S26"/>
    <mergeCell ref="D25:E25"/>
    <mergeCell ref="F25:G25"/>
    <mergeCell ref="H25:I25"/>
    <mergeCell ref="J25:K25"/>
    <mergeCell ref="L25:M25"/>
    <mergeCell ref="N25:O25"/>
    <mergeCell ref="P27:Q27"/>
    <mergeCell ref="R27:S27"/>
    <mergeCell ref="D28:E28"/>
    <mergeCell ref="F28:G28"/>
    <mergeCell ref="H28:I28"/>
    <mergeCell ref="J28:K28"/>
    <mergeCell ref="L28:M28"/>
    <mergeCell ref="N28:O28"/>
    <mergeCell ref="P28:Q28"/>
    <mergeCell ref="R28:S28"/>
    <mergeCell ref="D27:E27"/>
    <mergeCell ref="F27:G27"/>
    <mergeCell ref="H27:I27"/>
    <mergeCell ref="J27:K27"/>
    <mergeCell ref="L27:M27"/>
    <mergeCell ref="N27:O27"/>
    <mergeCell ref="P29:Q29"/>
    <mergeCell ref="R29:S29"/>
    <mergeCell ref="D30:E30"/>
    <mergeCell ref="F30:G30"/>
    <mergeCell ref="H30:I30"/>
    <mergeCell ref="J30:K30"/>
    <mergeCell ref="L30:M30"/>
    <mergeCell ref="N30:O30"/>
    <mergeCell ref="P30:Q30"/>
    <mergeCell ref="R30:S30"/>
    <mergeCell ref="D29:E29"/>
    <mergeCell ref="F29:G29"/>
    <mergeCell ref="H29:I29"/>
    <mergeCell ref="J29:K29"/>
    <mergeCell ref="L29:M29"/>
    <mergeCell ref="N29:O29"/>
    <mergeCell ref="P31:Q31"/>
    <mergeCell ref="R31:S31"/>
    <mergeCell ref="D32:E32"/>
    <mergeCell ref="F32:G32"/>
    <mergeCell ref="H32:I32"/>
    <mergeCell ref="J32:K32"/>
    <mergeCell ref="L32:M32"/>
    <mergeCell ref="N32:O32"/>
    <mergeCell ref="P32:Q32"/>
    <mergeCell ref="R32:S32"/>
    <mergeCell ref="D31:E31"/>
    <mergeCell ref="F31:G31"/>
    <mergeCell ref="H31:I31"/>
    <mergeCell ref="J31:K31"/>
    <mergeCell ref="L31:M31"/>
    <mergeCell ref="N31:O31"/>
    <mergeCell ref="P33:Q33"/>
    <mergeCell ref="R33:S33"/>
    <mergeCell ref="D34:E34"/>
    <mergeCell ref="F34:G34"/>
    <mergeCell ref="H34:I34"/>
    <mergeCell ref="J34:K34"/>
    <mergeCell ref="L34:M34"/>
    <mergeCell ref="N34:O34"/>
    <mergeCell ref="P34:Q34"/>
    <mergeCell ref="R34:S34"/>
    <mergeCell ref="D33:E33"/>
    <mergeCell ref="F33:G33"/>
    <mergeCell ref="H33:I33"/>
    <mergeCell ref="J33:K33"/>
    <mergeCell ref="L33:M33"/>
    <mergeCell ref="N33:O33"/>
    <mergeCell ref="P35:Q35"/>
    <mergeCell ref="R35:S35"/>
    <mergeCell ref="D36:E36"/>
    <mergeCell ref="F36:G36"/>
    <mergeCell ref="H36:I36"/>
    <mergeCell ref="J36:K36"/>
    <mergeCell ref="L36:M36"/>
    <mergeCell ref="N36:O36"/>
    <mergeCell ref="P36:Q36"/>
    <mergeCell ref="R36:S36"/>
    <mergeCell ref="D35:E35"/>
    <mergeCell ref="F35:G35"/>
    <mergeCell ref="H35:I35"/>
    <mergeCell ref="J35:K35"/>
    <mergeCell ref="L35:M35"/>
    <mergeCell ref="N35:O35"/>
    <mergeCell ref="P37:Q37"/>
    <mergeCell ref="R37:S37"/>
    <mergeCell ref="D38:E38"/>
    <mergeCell ref="F38:G38"/>
    <mergeCell ref="H38:I38"/>
    <mergeCell ref="J38:K38"/>
    <mergeCell ref="L38:M38"/>
    <mergeCell ref="N38:O38"/>
    <mergeCell ref="P38:Q38"/>
    <mergeCell ref="R38:S38"/>
    <mergeCell ref="D37:E37"/>
    <mergeCell ref="F37:G37"/>
    <mergeCell ref="H37:I37"/>
    <mergeCell ref="J37:K37"/>
    <mergeCell ref="L37:M37"/>
    <mergeCell ref="N37:O37"/>
    <mergeCell ref="P39:Q39"/>
    <mergeCell ref="R39:S39"/>
    <mergeCell ref="D40:E40"/>
    <mergeCell ref="F40:G40"/>
    <mergeCell ref="H40:I40"/>
    <mergeCell ref="J40:K40"/>
    <mergeCell ref="L40:M40"/>
    <mergeCell ref="N40:O40"/>
    <mergeCell ref="P40:Q40"/>
    <mergeCell ref="R40:S40"/>
    <mergeCell ref="D39:E39"/>
    <mergeCell ref="F39:G39"/>
    <mergeCell ref="H39:I39"/>
    <mergeCell ref="J39:K39"/>
    <mergeCell ref="L39:M39"/>
    <mergeCell ref="N39:O39"/>
    <mergeCell ref="P41:Q41"/>
    <mergeCell ref="R41:S41"/>
    <mergeCell ref="D42:E42"/>
    <mergeCell ref="F42:G42"/>
    <mergeCell ref="H42:I42"/>
    <mergeCell ref="J42:K42"/>
    <mergeCell ref="L42:M42"/>
    <mergeCell ref="N42:O42"/>
    <mergeCell ref="P42:Q42"/>
    <mergeCell ref="R42:S42"/>
    <mergeCell ref="D41:E41"/>
    <mergeCell ref="F41:G41"/>
    <mergeCell ref="H41:I41"/>
    <mergeCell ref="J41:K41"/>
    <mergeCell ref="L41:M41"/>
    <mergeCell ref="N41:O41"/>
    <mergeCell ref="P43:Q43"/>
    <mergeCell ref="R43:S43"/>
    <mergeCell ref="B44:J49"/>
    <mergeCell ref="K44:S49"/>
    <mergeCell ref="D43:E43"/>
    <mergeCell ref="F43:G43"/>
    <mergeCell ref="H43:I43"/>
    <mergeCell ref="J43:K43"/>
    <mergeCell ref="L43:M43"/>
    <mergeCell ref="N43:O43"/>
    <mergeCell ref="B13:B43"/>
    <mergeCell ref="D13:E13"/>
    <mergeCell ref="F13:G13"/>
    <mergeCell ref="H13:I13"/>
    <mergeCell ref="J13:K13"/>
    <mergeCell ref="L13:M13"/>
    <mergeCell ref="N13:O13"/>
    <mergeCell ref="P13:Q13"/>
    <mergeCell ref="R13:S13"/>
    <mergeCell ref="D14:E14"/>
    <mergeCell ref="F14:G14"/>
    <mergeCell ref="H14:I14"/>
    <mergeCell ref="J14:K14"/>
    <mergeCell ref="L14:M14"/>
  </mergeCells>
  <pageMargins left="0.7" right="0.7" top="0.75" bottom="0.75" header="0.3" footer="0.3"/>
  <pageSetup scale="74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B050"/>
    <pageSetUpPr fitToPage="1"/>
  </sheetPr>
  <dimension ref="A1:T49"/>
  <sheetViews>
    <sheetView zoomScaleNormal="100" workbookViewId="0">
      <selection activeCell="V22" sqref="V22"/>
    </sheetView>
  </sheetViews>
  <sheetFormatPr baseColWidth="10" defaultRowHeight="15" x14ac:dyDescent="0.25"/>
  <cols>
    <col min="1" max="1" width="2.5703125" style="2" customWidth="1"/>
    <col min="2" max="2" width="13.7109375" style="2" customWidth="1"/>
    <col min="3" max="3" width="5.28515625" style="2" bestFit="1" customWidth="1"/>
    <col min="4" max="4" width="5.7109375" style="2" customWidth="1"/>
    <col min="5" max="5" width="4.42578125" style="2" customWidth="1"/>
    <col min="6" max="19" width="5.7109375" style="2" customWidth="1"/>
    <col min="20" max="20" width="0" hidden="1" customWidth="1"/>
  </cols>
  <sheetData>
    <row r="1" spans="2:20" ht="77.25" customHeight="1" thickBot="1" x14ac:dyDescent="0.3">
      <c r="B1" s="452"/>
      <c r="C1" s="373"/>
      <c r="D1" s="453" t="s">
        <v>206</v>
      </c>
      <c r="E1" s="456"/>
      <c r="F1" s="456"/>
      <c r="G1" s="456"/>
      <c r="H1" s="456"/>
      <c r="I1" s="456"/>
      <c r="J1" s="456"/>
      <c r="K1" s="456"/>
      <c r="L1" s="456"/>
      <c r="M1" s="456"/>
      <c r="N1" s="457"/>
      <c r="O1" s="370"/>
      <c r="P1" s="371"/>
      <c r="Q1" s="371"/>
      <c r="R1" s="371"/>
      <c r="S1" s="372"/>
    </row>
    <row r="2" spans="2:20" ht="15.75" thickBot="1" x14ac:dyDescent="0.3">
      <c r="B2" s="375" t="s">
        <v>72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5"/>
    </row>
    <row r="3" spans="2:20" ht="15.75" thickBot="1" x14ac:dyDescent="0.3">
      <c r="B3" s="375" t="s">
        <v>136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5"/>
    </row>
    <row r="4" spans="2:20" x14ac:dyDescent="0.25">
      <c r="B4" s="26" t="s">
        <v>58</v>
      </c>
      <c r="C4" s="247" t="s">
        <v>96</v>
      </c>
      <c r="D4" s="247"/>
      <c r="E4" s="247"/>
      <c r="F4" s="247"/>
      <c r="G4" s="247"/>
      <c r="H4" s="247"/>
      <c r="I4" s="247"/>
      <c r="J4" s="247"/>
      <c r="K4" s="247"/>
      <c r="L4" s="449"/>
      <c r="M4" s="450" t="s">
        <v>5</v>
      </c>
      <c r="N4" s="451"/>
      <c r="O4" s="247" t="s">
        <v>263</v>
      </c>
      <c r="P4" s="247"/>
      <c r="Q4" s="247"/>
      <c r="R4" s="247"/>
      <c r="S4" s="449"/>
    </row>
    <row r="5" spans="2:20" ht="15.75" thickBot="1" x14ac:dyDescent="0.3">
      <c r="B5" s="27" t="s">
        <v>4</v>
      </c>
      <c r="C5" s="438" t="s">
        <v>235</v>
      </c>
      <c r="D5" s="439"/>
      <c r="E5" s="439"/>
      <c r="F5" s="439"/>
      <c r="G5" s="439"/>
      <c r="H5" s="439"/>
      <c r="I5" s="439"/>
      <c r="J5" s="439"/>
      <c r="K5" s="439"/>
      <c r="L5" s="440"/>
      <c r="M5" s="441" t="s">
        <v>73</v>
      </c>
      <c r="N5" s="442"/>
      <c r="O5" s="443"/>
      <c r="P5" s="443"/>
      <c r="Q5" s="443"/>
      <c r="R5" s="443"/>
      <c r="S5" s="444"/>
    </row>
    <row r="6" spans="2:20" ht="15.75" thickBot="1" x14ac:dyDescent="0.3">
      <c r="B6" s="337"/>
      <c r="C6" s="338"/>
      <c r="D6" s="436" t="s">
        <v>74</v>
      </c>
      <c r="E6" s="460"/>
      <c r="F6" s="460"/>
      <c r="G6" s="437"/>
      <c r="H6" s="436" t="s">
        <v>74</v>
      </c>
      <c r="I6" s="460"/>
      <c r="J6" s="460"/>
      <c r="K6" s="437"/>
      <c r="L6" s="436" t="s">
        <v>74</v>
      </c>
      <c r="M6" s="460"/>
      <c r="N6" s="460"/>
      <c r="O6" s="437"/>
      <c r="P6" s="436" t="s">
        <v>74</v>
      </c>
      <c r="Q6" s="460"/>
      <c r="R6" s="460"/>
      <c r="S6" s="437"/>
    </row>
    <row r="7" spans="2:20" ht="15.75" thickBot="1" x14ac:dyDescent="0.3">
      <c r="B7" s="445"/>
      <c r="C7" s="446"/>
      <c r="D7" s="418">
        <v>13042</v>
      </c>
      <c r="E7" s="419"/>
      <c r="F7" s="419"/>
      <c r="G7" s="435"/>
      <c r="H7" s="418"/>
      <c r="I7" s="419"/>
      <c r="J7" s="419"/>
      <c r="K7" s="435"/>
      <c r="L7" s="418"/>
      <c r="M7" s="419"/>
      <c r="N7" s="419"/>
      <c r="O7" s="419"/>
      <c r="P7" s="418"/>
      <c r="Q7" s="419"/>
      <c r="R7" s="419"/>
      <c r="S7" s="435"/>
    </row>
    <row r="8" spans="2:20" ht="15.75" thickBot="1" x14ac:dyDescent="0.3">
      <c r="B8" s="445"/>
      <c r="C8" s="446"/>
      <c r="D8" s="436" t="s">
        <v>75</v>
      </c>
      <c r="E8" s="460"/>
      <c r="F8" s="460"/>
      <c r="G8" s="437"/>
      <c r="H8" s="418" t="s">
        <v>76</v>
      </c>
      <c r="I8" s="419"/>
      <c r="J8" s="419"/>
      <c r="K8" s="435"/>
      <c r="L8" s="418" t="s">
        <v>76</v>
      </c>
      <c r="M8" s="419"/>
      <c r="N8" s="419"/>
      <c r="O8" s="435"/>
      <c r="P8" s="418" t="s">
        <v>76</v>
      </c>
      <c r="Q8" s="419"/>
      <c r="R8" s="419"/>
      <c r="S8" s="435"/>
    </row>
    <row r="9" spans="2:20" ht="15.75" thickBot="1" x14ac:dyDescent="0.3">
      <c r="B9" s="445"/>
      <c r="C9" s="446"/>
      <c r="D9" s="418" t="s">
        <v>262</v>
      </c>
      <c r="E9" s="419"/>
      <c r="F9" s="419"/>
      <c r="G9" s="435"/>
      <c r="H9" s="418"/>
      <c r="I9" s="419"/>
      <c r="J9" s="419"/>
      <c r="K9" s="435"/>
      <c r="L9" s="418"/>
      <c r="M9" s="419"/>
      <c r="N9" s="419"/>
      <c r="O9" s="435"/>
      <c r="P9" s="418"/>
      <c r="Q9" s="419"/>
      <c r="R9" s="419"/>
      <c r="S9" s="435"/>
    </row>
    <row r="10" spans="2:20" ht="15.75" thickBot="1" x14ac:dyDescent="0.3">
      <c r="B10" s="445"/>
      <c r="C10" s="446"/>
      <c r="D10" s="436" t="s">
        <v>69</v>
      </c>
      <c r="E10" s="460"/>
      <c r="F10" s="460"/>
      <c r="G10" s="437"/>
      <c r="H10" s="418" t="s">
        <v>69</v>
      </c>
      <c r="I10" s="419"/>
      <c r="J10" s="419"/>
      <c r="K10" s="435"/>
      <c r="L10" s="418" t="s">
        <v>69</v>
      </c>
      <c r="M10" s="419"/>
      <c r="N10" s="419"/>
      <c r="O10" s="435"/>
      <c r="P10" s="418" t="s">
        <v>69</v>
      </c>
      <c r="Q10" s="419"/>
      <c r="R10" s="419"/>
      <c r="S10" s="435"/>
    </row>
    <row r="11" spans="2:20" ht="15.75" thickBot="1" x14ac:dyDescent="0.3">
      <c r="B11" s="447"/>
      <c r="C11" s="448"/>
      <c r="D11" s="418" t="s">
        <v>264</v>
      </c>
      <c r="E11" s="419"/>
      <c r="F11" s="419"/>
      <c r="G11" s="435"/>
      <c r="H11" s="418"/>
      <c r="I11" s="419"/>
      <c r="J11" s="419"/>
      <c r="K11" s="435"/>
      <c r="L11" s="418"/>
      <c r="M11" s="419"/>
      <c r="N11" s="419"/>
      <c r="O11" s="435"/>
      <c r="P11" s="418"/>
      <c r="Q11" s="419"/>
      <c r="R11" s="419"/>
      <c r="S11" s="435"/>
    </row>
    <row r="12" spans="2:20" ht="15.75" thickBot="1" x14ac:dyDescent="0.3">
      <c r="B12" s="28" t="s">
        <v>77</v>
      </c>
      <c r="C12" s="29" t="s">
        <v>78</v>
      </c>
      <c r="D12" s="375" t="s">
        <v>14</v>
      </c>
      <c r="E12" s="245"/>
      <c r="F12" s="461" t="s">
        <v>15</v>
      </c>
      <c r="G12" s="462"/>
      <c r="H12" s="461" t="s">
        <v>14</v>
      </c>
      <c r="I12" s="462"/>
      <c r="J12" s="461" t="s">
        <v>15</v>
      </c>
      <c r="K12" s="462"/>
      <c r="L12" s="461" t="s">
        <v>14</v>
      </c>
      <c r="M12" s="462"/>
      <c r="N12" s="461" t="s">
        <v>15</v>
      </c>
      <c r="O12" s="462"/>
      <c r="P12" s="461" t="s">
        <v>14</v>
      </c>
      <c r="Q12" s="462"/>
      <c r="R12" s="461" t="s">
        <v>15</v>
      </c>
      <c r="S12" s="462"/>
    </row>
    <row r="13" spans="2:20" ht="19.5" thickBot="1" x14ac:dyDescent="0.3">
      <c r="B13" s="433" t="s">
        <v>204</v>
      </c>
      <c r="C13" s="37">
        <v>1</v>
      </c>
      <c r="D13" s="375"/>
      <c r="E13" s="245"/>
      <c r="F13" s="375"/>
      <c r="G13" s="245"/>
      <c r="H13" s="375"/>
      <c r="I13" s="245"/>
      <c r="J13" s="375"/>
      <c r="K13" s="245"/>
      <c r="L13" s="375"/>
      <c r="M13" s="245"/>
      <c r="N13" s="375"/>
      <c r="O13" s="245"/>
      <c r="P13" s="375"/>
      <c r="Q13" s="245"/>
      <c r="R13" s="375"/>
      <c r="S13" s="245"/>
      <c r="T13" t="s">
        <v>223</v>
      </c>
    </row>
    <row r="14" spans="2:20" ht="19.5" thickBot="1" x14ac:dyDescent="0.3">
      <c r="B14" s="434"/>
      <c r="C14" s="45">
        <v>2</v>
      </c>
      <c r="D14" s="375"/>
      <c r="E14" s="245"/>
      <c r="F14" s="375"/>
      <c r="G14" s="245"/>
      <c r="H14" s="375"/>
      <c r="I14" s="245"/>
      <c r="J14" s="375"/>
      <c r="K14" s="245"/>
      <c r="L14" s="375"/>
      <c r="M14" s="245"/>
      <c r="N14" s="375"/>
      <c r="O14" s="245"/>
      <c r="P14" s="375"/>
      <c r="Q14" s="245"/>
      <c r="R14" s="375"/>
      <c r="S14" s="245"/>
    </row>
    <row r="15" spans="2:20" ht="19.5" thickBot="1" x14ac:dyDescent="0.3">
      <c r="B15" s="434"/>
      <c r="C15" s="45">
        <v>3</v>
      </c>
      <c r="D15" s="375"/>
      <c r="E15" s="245"/>
      <c r="F15" s="375"/>
      <c r="G15" s="245"/>
      <c r="H15" s="375"/>
      <c r="I15" s="245"/>
      <c r="J15" s="375"/>
      <c r="K15" s="245"/>
      <c r="L15" s="375"/>
      <c r="M15" s="245"/>
      <c r="N15" s="375"/>
      <c r="O15" s="245"/>
      <c r="P15" s="375"/>
      <c r="Q15" s="245"/>
      <c r="R15" s="375"/>
      <c r="S15" s="245"/>
    </row>
    <row r="16" spans="2:20" ht="19.5" thickBot="1" x14ac:dyDescent="0.3">
      <c r="B16" s="434"/>
      <c r="C16" s="45">
        <v>4</v>
      </c>
      <c r="D16" s="375"/>
      <c r="E16" s="245"/>
      <c r="F16" s="375"/>
      <c r="G16" s="245"/>
      <c r="H16" s="375"/>
      <c r="I16" s="245"/>
      <c r="J16" s="375"/>
      <c r="K16" s="245"/>
      <c r="L16" s="375"/>
      <c r="M16" s="245"/>
      <c r="N16" s="375"/>
      <c r="O16" s="245"/>
      <c r="P16" s="375"/>
      <c r="Q16" s="245"/>
      <c r="R16" s="375"/>
      <c r="S16" s="245"/>
    </row>
    <row r="17" spans="1:19" ht="19.5" thickBot="1" x14ac:dyDescent="0.3">
      <c r="B17" s="434"/>
      <c r="C17" s="45">
        <v>5</v>
      </c>
      <c r="D17" s="375"/>
      <c r="E17" s="245"/>
      <c r="F17" s="375"/>
      <c r="G17" s="245"/>
      <c r="H17" s="375"/>
      <c r="I17" s="245"/>
      <c r="J17" s="375"/>
      <c r="K17" s="245"/>
      <c r="L17" s="375"/>
      <c r="M17" s="245"/>
      <c r="N17" s="375"/>
      <c r="O17" s="245"/>
      <c r="P17" s="375"/>
      <c r="Q17" s="245"/>
      <c r="R17" s="375"/>
      <c r="S17" s="245"/>
    </row>
    <row r="18" spans="1:19" ht="19.5" thickBot="1" x14ac:dyDescent="0.3">
      <c r="B18" s="434"/>
      <c r="C18" s="45">
        <v>6</v>
      </c>
      <c r="D18" s="375"/>
      <c r="E18" s="245"/>
      <c r="F18" s="375"/>
      <c r="G18" s="245"/>
      <c r="H18" s="375"/>
      <c r="I18" s="245"/>
      <c r="J18" s="375"/>
      <c r="K18" s="245"/>
      <c r="L18" s="375"/>
      <c r="M18" s="245"/>
      <c r="N18" s="375"/>
      <c r="O18" s="245"/>
      <c r="P18" s="375"/>
      <c r="Q18" s="245"/>
      <c r="R18" s="375"/>
      <c r="S18" s="245"/>
    </row>
    <row r="19" spans="1:19" ht="19.5" thickBot="1" x14ac:dyDescent="0.3">
      <c r="B19" s="434"/>
      <c r="C19" s="45">
        <v>7</v>
      </c>
      <c r="D19" s="375"/>
      <c r="E19" s="245"/>
      <c r="F19" s="375"/>
      <c r="G19" s="245"/>
      <c r="H19" s="375"/>
      <c r="I19" s="245"/>
      <c r="J19" s="375"/>
      <c r="K19" s="245"/>
      <c r="L19" s="375"/>
      <c r="M19" s="245"/>
      <c r="N19" s="375"/>
      <c r="O19" s="245"/>
      <c r="P19" s="375"/>
      <c r="Q19" s="245"/>
      <c r="R19" s="375"/>
      <c r="S19" s="245"/>
    </row>
    <row r="20" spans="1:19" ht="19.5" thickBot="1" x14ac:dyDescent="0.3">
      <c r="B20" s="434"/>
      <c r="C20" s="45">
        <v>8</v>
      </c>
      <c r="D20" s="375"/>
      <c r="E20" s="245"/>
      <c r="F20" s="375"/>
      <c r="G20" s="245"/>
      <c r="H20" s="375"/>
      <c r="I20" s="245"/>
      <c r="J20" s="375"/>
      <c r="K20" s="245"/>
      <c r="L20" s="375"/>
      <c r="M20" s="245"/>
      <c r="N20" s="375"/>
      <c r="O20" s="245"/>
      <c r="P20" s="375"/>
      <c r="Q20" s="245"/>
      <c r="R20" s="375"/>
      <c r="S20" s="245"/>
    </row>
    <row r="21" spans="1:19" ht="19.5" thickBot="1" x14ac:dyDescent="0.3">
      <c r="B21" s="434"/>
      <c r="C21" s="45">
        <v>9</v>
      </c>
      <c r="D21" s="375"/>
      <c r="E21" s="245"/>
      <c r="F21" s="375"/>
      <c r="G21" s="245"/>
      <c r="H21" s="375"/>
      <c r="I21" s="245"/>
      <c r="J21" s="375"/>
      <c r="K21" s="245"/>
      <c r="L21" s="375"/>
      <c r="M21" s="245"/>
      <c r="N21" s="375"/>
      <c r="O21" s="245"/>
      <c r="P21" s="375"/>
      <c r="Q21" s="245"/>
      <c r="R21" s="375"/>
      <c r="S21" s="245"/>
    </row>
    <row r="22" spans="1:19" ht="19.5" thickBot="1" x14ac:dyDescent="0.3">
      <c r="B22" s="434"/>
      <c r="C22" s="45">
        <v>10</v>
      </c>
      <c r="D22" s="375"/>
      <c r="E22" s="245"/>
      <c r="F22" s="375"/>
      <c r="G22" s="245"/>
      <c r="H22" s="375"/>
      <c r="I22" s="245"/>
      <c r="J22" s="375"/>
      <c r="K22" s="245"/>
      <c r="L22" s="375"/>
      <c r="M22" s="245"/>
      <c r="N22" s="375"/>
      <c r="O22" s="245"/>
      <c r="P22" s="375"/>
      <c r="Q22" s="245"/>
      <c r="R22" s="375"/>
      <c r="S22" s="245"/>
    </row>
    <row r="23" spans="1:19" ht="19.5" thickBot="1" x14ac:dyDescent="0.3">
      <c r="B23" s="434"/>
      <c r="C23" s="45">
        <v>11</v>
      </c>
      <c r="D23" s="375"/>
      <c r="E23" s="245"/>
      <c r="F23" s="375"/>
      <c r="G23" s="245"/>
      <c r="H23" s="375"/>
      <c r="I23" s="245"/>
      <c r="J23" s="375"/>
      <c r="K23" s="245"/>
      <c r="L23" s="375"/>
      <c r="M23" s="245"/>
      <c r="N23" s="375"/>
      <c r="O23" s="245"/>
      <c r="P23" s="375"/>
      <c r="Q23" s="245"/>
      <c r="R23" s="375"/>
      <c r="S23" s="245"/>
    </row>
    <row r="24" spans="1:19" ht="19.5" thickBot="1" x14ac:dyDescent="0.3">
      <c r="B24" s="434"/>
      <c r="C24" s="45">
        <v>12</v>
      </c>
      <c r="D24" s="375"/>
      <c r="E24" s="245"/>
      <c r="F24" s="375"/>
      <c r="G24" s="245"/>
      <c r="H24" s="375"/>
      <c r="I24" s="245"/>
      <c r="J24" s="375"/>
      <c r="K24" s="245"/>
      <c r="L24" s="375"/>
      <c r="M24" s="245"/>
      <c r="N24" s="375"/>
      <c r="O24" s="245"/>
      <c r="P24" s="375"/>
      <c r="Q24" s="245"/>
      <c r="R24" s="375"/>
      <c r="S24" s="245"/>
    </row>
    <row r="25" spans="1:19" ht="19.5" thickBot="1" x14ac:dyDescent="0.3">
      <c r="B25" s="434"/>
      <c r="C25" s="45">
        <v>13</v>
      </c>
      <c r="D25" s="375"/>
      <c r="E25" s="245"/>
      <c r="F25" s="375"/>
      <c r="G25" s="245"/>
      <c r="H25" s="375"/>
      <c r="I25" s="245"/>
      <c r="J25" s="375"/>
      <c r="K25" s="245"/>
      <c r="L25" s="375"/>
      <c r="M25" s="245"/>
      <c r="N25" s="375"/>
      <c r="O25" s="245"/>
      <c r="P25" s="375"/>
      <c r="Q25" s="245"/>
      <c r="R25" s="375"/>
      <c r="S25" s="245"/>
    </row>
    <row r="26" spans="1:19" ht="19.5" thickBot="1" x14ac:dyDescent="0.3">
      <c r="B26" s="434"/>
      <c r="C26" s="45">
        <v>14</v>
      </c>
      <c r="D26" s="375"/>
      <c r="E26" s="245"/>
      <c r="F26" s="375"/>
      <c r="G26" s="245"/>
      <c r="H26" s="375"/>
      <c r="I26" s="245"/>
      <c r="J26" s="375"/>
      <c r="K26" s="245"/>
      <c r="L26" s="375"/>
      <c r="M26" s="245"/>
      <c r="N26" s="375"/>
      <c r="O26" s="245"/>
      <c r="P26" s="375"/>
      <c r="Q26" s="245"/>
      <c r="R26" s="375"/>
      <c r="S26" s="245"/>
    </row>
    <row r="27" spans="1:19" ht="19.5" thickBot="1" x14ac:dyDescent="0.3">
      <c r="B27" s="434"/>
      <c r="C27" s="45">
        <v>15</v>
      </c>
      <c r="D27" s="375"/>
      <c r="E27" s="245"/>
      <c r="F27" s="375"/>
      <c r="G27" s="245"/>
      <c r="H27" s="375"/>
      <c r="I27" s="245"/>
      <c r="J27" s="375"/>
      <c r="K27" s="245"/>
      <c r="L27" s="375"/>
      <c r="M27" s="245"/>
      <c r="N27" s="375"/>
      <c r="O27" s="245"/>
      <c r="P27" s="375"/>
      <c r="Q27" s="245"/>
      <c r="R27" s="375"/>
      <c r="S27" s="245"/>
    </row>
    <row r="28" spans="1:19" ht="19.5" thickBot="1" x14ac:dyDescent="0.3">
      <c r="B28" s="434"/>
      <c r="C28" s="45">
        <v>16</v>
      </c>
      <c r="D28" s="375"/>
      <c r="E28" s="245"/>
      <c r="F28" s="375"/>
      <c r="G28" s="245"/>
      <c r="H28" s="375"/>
      <c r="I28" s="245"/>
      <c r="J28" s="375"/>
      <c r="K28" s="245"/>
      <c r="L28" s="375"/>
      <c r="M28" s="245"/>
      <c r="N28" s="375"/>
      <c r="O28" s="245"/>
      <c r="P28" s="375"/>
      <c r="Q28" s="245"/>
      <c r="R28" s="375"/>
      <c r="S28" s="245"/>
    </row>
    <row r="29" spans="1:19" ht="19.5" thickBot="1" x14ac:dyDescent="0.3">
      <c r="B29" s="434"/>
      <c r="C29" s="45">
        <v>17</v>
      </c>
      <c r="D29" s="375"/>
      <c r="E29" s="245"/>
      <c r="F29" s="375"/>
      <c r="G29" s="245"/>
      <c r="H29" s="375"/>
      <c r="I29" s="245"/>
      <c r="J29" s="375"/>
      <c r="K29" s="245"/>
      <c r="L29" s="375"/>
      <c r="M29" s="245"/>
      <c r="N29" s="375"/>
      <c r="O29" s="245"/>
      <c r="P29" s="375"/>
      <c r="Q29" s="245"/>
      <c r="R29" s="375"/>
      <c r="S29" s="245"/>
    </row>
    <row r="30" spans="1:19" ht="19.5" thickBot="1" x14ac:dyDescent="0.3">
      <c r="A30" s="25"/>
      <c r="B30" s="434"/>
      <c r="C30" s="45">
        <v>18</v>
      </c>
      <c r="D30" s="375"/>
      <c r="E30" s="245"/>
      <c r="F30" s="375"/>
      <c r="G30" s="245"/>
      <c r="H30" s="375"/>
      <c r="I30" s="245"/>
      <c r="J30" s="375"/>
      <c r="K30" s="245"/>
      <c r="L30" s="375"/>
      <c r="M30" s="245"/>
      <c r="N30" s="375"/>
      <c r="O30" s="245"/>
      <c r="P30" s="375"/>
      <c r="Q30" s="245"/>
      <c r="R30" s="375"/>
      <c r="S30" s="245"/>
    </row>
    <row r="31" spans="1:19" ht="19.5" thickBot="1" x14ac:dyDescent="0.3">
      <c r="A31" s="25"/>
      <c r="B31" s="434"/>
      <c r="C31" s="45">
        <v>19</v>
      </c>
      <c r="D31" s="375"/>
      <c r="E31" s="245"/>
      <c r="F31" s="375"/>
      <c r="G31" s="245"/>
      <c r="H31" s="375"/>
      <c r="I31" s="245"/>
      <c r="J31" s="375"/>
      <c r="K31" s="245"/>
      <c r="L31" s="375"/>
      <c r="M31" s="245"/>
      <c r="N31" s="375"/>
      <c r="O31" s="245"/>
      <c r="P31" s="375"/>
      <c r="Q31" s="245"/>
      <c r="R31" s="375"/>
      <c r="S31" s="245"/>
    </row>
    <row r="32" spans="1:19" ht="19.5" thickBot="1" x14ac:dyDescent="0.3">
      <c r="A32" s="25"/>
      <c r="B32" s="434"/>
      <c r="C32" s="45">
        <v>20</v>
      </c>
      <c r="D32" s="375"/>
      <c r="E32" s="245"/>
      <c r="F32" s="375"/>
      <c r="G32" s="245"/>
      <c r="H32" s="375"/>
      <c r="I32" s="245"/>
      <c r="J32" s="375"/>
      <c r="K32" s="245"/>
      <c r="L32" s="375"/>
      <c r="M32" s="245"/>
      <c r="N32" s="375"/>
      <c r="O32" s="245"/>
      <c r="P32" s="375"/>
      <c r="Q32" s="245"/>
      <c r="R32" s="375"/>
      <c r="S32" s="245"/>
    </row>
    <row r="33" spans="1:19" ht="19.5" thickBot="1" x14ac:dyDescent="0.3">
      <c r="A33" s="25"/>
      <c r="B33" s="434"/>
      <c r="C33" s="45">
        <v>21</v>
      </c>
      <c r="D33" s="375"/>
      <c r="E33" s="245"/>
      <c r="F33" s="375"/>
      <c r="G33" s="245"/>
      <c r="H33" s="375"/>
      <c r="I33" s="245"/>
      <c r="J33" s="375"/>
      <c r="K33" s="245"/>
      <c r="L33" s="375"/>
      <c r="M33" s="245"/>
      <c r="N33" s="375"/>
      <c r="O33" s="245"/>
      <c r="P33" s="375"/>
      <c r="Q33" s="245"/>
      <c r="R33" s="375"/>
      <c r="S33" s="245"/>
    </row>
    <row r="34" spans="1:19" ht="19.5" thickBot="1" x14ac:dyDescent="0.3">
      <c r="A34" s="25"/>
      <c r="B34" s="434"/>
      <c r="C34" s="45">
        <v>22</v>
      </c>
      <c r="D34" s="375"/>
      <c r="E34" s="245"/>
      <c r="F34" s="375"/>
      <c r="G34" s="245"/>
      <c r="H34" s="375"/>
      <c r="I34" s="245"/>
      <c r="J34" s="375"/>
      <c r="K34" s="245"/>
      <c r="L34" s="375"/>
      <c r="M34" s="245"/>
      <c r="N34" s="375"/>
      <c r="O34" s="245"/>
      <c r="P34" s="375"/>
      <c r="Q34" s="245"/>
      <c r="R34" s="375"/>
      <c r="S34" s="245"/>
    </row>
    <row r="35" spans="1:19" ht="19.5" thickBot="1" x14ac:dyDescent="0.3">
      <c r="A35" s="25"/>
      <c r="B35" s="434"/>
      <c r="C35" s="45">
        <v>23</v>
      </c>
      <c r="D35" s="375"/>
      <c r="E35" s="245"/>
      <c r="F35" s="375"/>
      <c r="G35" s="245"/>
      <c r="H35" s="375"/>
      <c r="I35" s="245"/>
      <c r="J35" s="375"/>
      <c r="K35" s="245"/>
      <c r="L35" s="375"/>
      <c r="M35" s="245"/>
      <c r="N35" s="375"/>
      <c r="O35" s="245"/>
      <c r="P35" s="375"/>
      <c r="Q35" s="245"/>
      <c r="R35" s="375"/>
      <c r="S35" s="245"/>
    </row>
    <row r="36" spans="1:19" ht="19.5" thickBot="1" x14ac:dyDescent="0.3">
      <c r="A36" s="25"/>
      <c r="B36" s="434"/>
      <c r="C36" s="45">
        <v>24</v>
      </c>
      <c r="D36" s="375"/>
      <c r="E36" s="245"/>
      <c r="F36" s="375"/>
      <c r="G36" s="245"/>
      <c r="H36" s="375"/>
      <c r="I36" s="245"/>
      <c r="J36" s="375"/>
      <c r="K36" s="245"/>
      <c r="L36" s="375"/>
      <c r="M36" s="245"/>
      <c r="N36" s="375"/>
      <c r="O36" s="245"/>
      <c r="P36" s="375"/>
      <c r="Q36" s="245"/>
      <c r="R36" s="375"/>
      <c r="S36" s="245"/>
    </row>
    <row r="37" spans="1:19" ht="19.5" thickBot="1" x14ac:dyDescent="0.3">
      <c r="B37" s="434"/>
      <c r="C37" s="45">
        <v>25</v>
      </c>
      <c r="D37" s="375"/>
      <c r="E37" s="245"/>
      <c r="F37" s="375"/>
      <c r="G37" s="245"/>
      <c r="H37" s="375"/>
      <c r="I37" s="245"/>
      <c r="J37" s="375"/>
      <c r="K37" s="245"/>
      <c r="L37" s="375"/>
      <c r="M37" s="245"/>
      <c r="N37" s="375"/>
      <c r="O37" s="245"/>
      <c r="P37" s="375"/>
      <c r="Q37" s="245"/>
      <c r="R37" s="375"/>
      <c r="S37" s="245"/>
    </row>
    <row r="38" spans="1:19" ht="19.5" thickBot="1" x14ac:dyDescent="0.3">
      <c r="B38" s="434"/>
      <c r="C38" s="45">
        <v>26</v>
      </c>
      <c r="D38" s="375"/>
      <c r="E38" s="245"/>
      <c r="F38" s="375"/>
      <c r="G38" s="245"/>
      <c r="H38" s="375"/>
      <c r="I38" s="245"/>
      <c r="J38" s="375"/>
      <c r="K38" s="245"/>
      <c r="L38" s="375"/>
      <c r="M38" s="245"/>
      <c r="N38" s="375"/>
      <c r="O38" s="245"/>
      <c r="P38" s="375"/>
      <c r="Q38" s="245"/>
      <c r="R38" s="375"/>
      <c r="S38" s="245"/>
    </row>
    <row r="39" spans="1:19" ht="19.5" thickBot="1" x14ac:dyDescent="0.3">
      <c r="B39" s="434"/>
      <c r="C39" s="45">
        <v>27</v>
      </c>
      <c r="D39" s="375"/>
      <c r="E39" s="245"/>
      <c r="F39" s="375"/>
      <c r="G39" s="245"/>
      <c r="H39" s="375"/>
      <c r="I39" s="245"/>
      <c r="J39" s="375"/>
      <c r="K39" s="245"/>
      <c r="L39" s="375"/>
      <c r="M39" s="245"/>
      <c r="N39" s="375"/>
      <c r="O39" s="245"/>
      <c r="P39" s="375"/>
      <c r="Q39" s="245"/>
      <c r="R39" s="375"/>
      <c r="S39" s="245"/>
    </row>
    <row r="40" spans="1:19" ht="19.5" thickBot="1" x14ac:dyDescent="0.3">
      <c r="B40" s="434"/>
      <c r="C40" s="45">
        <v>28</v>
      </c>
      <c r="D40" s="375"/>
      <c r="E40" s="245"/>
      <c r="F40" s="375"/>
      <c r="G40" s="245"/>
      <c r="H40" s="375"/>
      <c r="I40" s="245"/>
      <c r="J40" s="375"/>
      <c r="K40" s="245"/>
      <c r="L40" s="375"/>
      <c r="M40" s="245"/>
      <c r="N40" s="375"/>
      <c r="O40" s="245"/>
      <c r="P40" s="375"/>
      <c r="Q40" s="245"/>
      <c r="R40" s="375"/>
      <c r="S40" s="245"/>
    </row>
    <row r="41" spans="1:19" ht="19.5" thickBot="1" x14ac:dyDescent="0.3">
      <c r="B41" s="434"/>
      <c r="C41" s="45">
        <v>29</v>
      </c>
      <c r="D41" s="375"/>
      <c r="E41" s="245"/>
      <c r="F41" s="375"/>
      <c r="G41" s="245"/>
      <c r="H41" s="375"/>
      <c r="I41" s="245"/>
      <c r="J41" s="375"/>
      <c r="K41" s="245"/>
      <c r="L41" s="375"/>
      <c r="M41" s="245"/>
      <c r="N41" s="375"/>
      <c r="O41" s="245"/>
      <c r="P41" s="375"/>
      <c r="Q41" s="245"/>
      <c r="R41" s="375"/>
      <c r="S41" s="245"/>
    </row>
    <row r="42" spans="1:19" ht="19.5" thickBot="1" x14ac:dyDescent="0.3">
      <c r="B42" s="434"/>
      <c r="C42" s="45">
        <v>30</v>
      </c>
      <c r="D42" s="375"/>
      <c r="E42" s="245"/>
      <c r="F42" s="375"/>
      <c r="G42" s="245"/>
      <c r="H42" s="375"/>
      <c r="I42" s="245"/>
      <c r="J42" s="375"/>
      <c r="K42" s="245"/>
      <c r="L42" s="375"/>
      <c r="M42" s="245"/>
      <c r="N42" s="375"/>
      <c r="O42" s="245"/>
      <c r="P42" s="375"/>
      <c r="Q42" s="245"/>
      <c r="R42" s="375"/>
      <c r="S42" s="245"/>
    </row>
    <row r="43" spans="1:19" ht="19.5" thickBot="1" x14ac:dyDescent="0.3">
      <c r="B43" s="434"/>
      <c r="C43" s="50">
        <v>31</v>
      </c>
      <c r="D43" s="375"/>
      <c r="E43" s="245"/>
      <c r="F43" s="375"/>
      <c r="G43" s="245"/>
      <c r="H43" s="375"/>
      <c r="I43" s="245"/>
      <c r="J43" s="375"/>
      <c r="K43" s="245"/>
      <c r="L43" s="375"/>
      <c r="M43" s="245"/>
      <c r="N43" s="375"/>
      <c r="O43" s="245"/>
      <c r="P43" s="375"/>
      <c r="Q43" s="245"/>
      <c r="R43" s="375"/>
      <c r="S43" s="245"/>
    </row>
    <row r="44" spans="1:19" ht="15" customHeight="1" x14ac:dyDescent="0.25">
      <c r="B44" s="191" t="s">
        <v>205</v>
      </c>
      <c r="C44" s="192"/>
      <c r="D44" s="192"/>
      <c r="E44" s="192"/>
      <c r="F44" s="192"/>
      <c r="G44" s="192"/>
      <c r="H44" s="192"/>
      <c r="I44" s="192"/>
      <c r="J44" s="193"/>
      <c r="K44" s="191" t="s">
        <v>199</v>
      </c>
      <c r="L44" s="192"/>
      <c r="M44" s="192"/>
      <c r="N44" s="192"/>
      <c r="O44" s="192"/>
      <c r="P44" s="192"/>
      <c r="Q44" s="192"/>
      <c r="R44" s="192"/>
      <c r="S44" s="193"/>
    </row>
    <row r="45" spans="1:19" ht="15" customHeight="1" x14ac:dyDescent="0.25">
      <c r="B45" s="194"/>
      <c r="C45" s="195"/>
      <c r="D45" s="195"/>
      <c r="E45" s="195"/>
      <c r="F45" s="195"/>
      <c r="G45" s="195"/>
      <c r="H45" s="195"/>
      <c r="I45" s="195"/>
      <c r="J45" s="196"/>
      <c r="K45" s="194"/>
      <c r="L45" s="195"/>
      <c r="M45" s="195"/>
      <c r="N45" s="195"/>
      <c r="O45" s="195"/>
      <c r="P45" s="195"/>
      <c r="Q45" s="195"/>
      <c r="R45" s="195"/>
      <c r="S45" s="196"/>
    </row>
    <row r="46" spans="1:19" ht="15" customHeight="1" x14ac:dyDescent="0.25">
      <c r="B46" s="194"/>
      <c r="C46" s="195"/>
      <c r="D46" s="195"/>
      <c r="E46" s="195"/>
      <c r="F46" s="195"/>
      <c r="G46" s="195"/>
      <c r="H46" s="195"/>
      <c r="I46" s="195"/>
      <c r="J46" s="196"/>
      <c r="K46" s="194"/>
      <c r="L46" s="195"/>
      <c r="M46" s="195"/>
      <c r="N46" s="195"/>
      <c r="O46" s="195"/>
      <c r="P46" s="195"/>
      <c r="Q46" s="195"/>
      <c r="R46" s="195"/>
      <c r="S46" s="196"/>
    </row>
    <row r="47" spans="1:19" x14ac:dyDescent="0.25">
      <c r="B47" s="194"/>
      <c r="C47" s="195"/>
      <c r="D47" s="195"/>
      <c r="E47" s="195"/>
      <c r="F47" s="195"/>
      <c r="G47" s="195"/>
      <c r="H47" s="195"/>
      <c r="I47" s="195"/>
      <c r="J47" s="196"/>
      <c r="K47" s="194"/>
      <c r="L47" s="195"/>
      <c r="M47" s="195"/>
      <c r="N47" s="195"/>
      <c r="O47" s="195"/>
      <c r="P47" s="195"/>
      <c r="Q47" s="195"/>
      <c r="R47" s="195"/>
      <c r="S47" s="196"/>
    </row>
    <row r="48" spans="1:19" x14ac:dyDescent="0.25">
      <c r="B48" s="194"/>
      <c r="C48" s="195"/>
      <c r="D48" s="195"/>
      <c r="E48" s="195"/>
      <c r="F48" s="195"/>
      <c r="G48" s="195"/>
      <c r="H48" s="195"/>
      <c r="I48" s="195"/>
      <c r="J48" s="196"/>
      <c r="K48" s="194"/>
      <c r="L48" s="195"/>
      <c r="M48" s="195"/>
      <c r="N48" s="195"/>
      <c r="O48" s="195"/>
      <c r="P48" s="195"/>
      <c r="Q48" s="195"/>
      <c r="R48" s="195"/>
      <c r="S48" s="196"/>
    </row>
    <row r="49" spans="2:19" ht="15.75" thickBot="1" x14ac:dyDescent="0.3">
      <c r="B49" s="197"/>
      <c r="C49" s="198"/>
      <c r="D49" s="198"/>
      <c r="E49" s="198"/>
      <c r="F49" s="198"/>
      <c r="G49" s="198"/>
      <c r="H49" s="198"/>
      <c r="I49" s="198"/>
      <c r="J49" s="199"/>
      <c r="K49" s="197"/>
      <c r="L49" s="198"/>
      <c r="M49" s="198"/>
      <c r="N49" s="198"/>
      <c r="O49" s="198"/>
      <c r="P49" s="198"/>
      <c r="Q49" s="198"/>
      <c r="R49" s="198"/>
      <c r="S49" s="199"/>
    </row>
  </sheetData>
  <mergeCells count="295">
    <mergeCell ref="B1:C1"/>
    <mergeCell ref="D1:N1"/>
    <mergeCell ref="O1:S1"/>
    <mergeCell ref="B2:S2"/>
    <mergeCell ref="B3:S3"/>
    <mergeCell ref="C4:L4"/>
    <mergeCell ref="M4:N4"/>
    <mergeCell ref="O4:S4"/>
    <mergeCell ref="C5:L5"/>
    <mergeCell ref="M5:N5"/>
    <mergeCell ref="O5:S5"/>
    <mergeCell ref="B6:C11"/>
    <mergeCell ref="D6:G6"/>
    <mergeCell ref="H6:K6"/>
    <mergeCell ref="L6:O6"/>
    <mergeCell ref="P6:S6"/>
    <mergeCell ref="D7:G7"/>
    <mergeCell ref="H7:K7"/>
    <mergeCell ref="D9:G9"/>
    <mergeCell ref="H9:K9"/>
    <mergeCell ref="L9:O9"/>
    <mergeCell ref="P9:S9"/>
    <mergeCell ref="D10:G10"/>
    <mergeCell ref="H10:K10"/>
    <mergeCell ref="L10:O10"/>
    <mergeCell ref="P10:S10"/>
    <mergeCell ref="L7:O7"/>
    <mergeCell ref="P7:S7"/>
    <mergeCell ref="D8:G8"/>
    <mergeCell ref="H8:K8"/>
    <mergeCell ref="L8:O8"/>
    <mergeCell ref="P8:S8"/>
    <mergeCell ref="D11:G11"/>
    <mergeCell ref="H11:K11"/>
    <mergeCell ref="L11:O11"/>
    <mergeCell ref="P11:S11"/>
    <mergeCell ref="D12:E12"/>
    <mergeCell ref="F12:G12"/>
    <mergeCell ref="H12:I12"/>
    <mergeCell ref="J12:K12"/>
    <mergeCell ref="L12:M12"/>
    <mergeCell ref="N12:O12"/>
    <mergeCell ref="P12:Q12"/>
    <mergeCell ref="R12:S12"/>
    <mergeCell ref="N14:O14"/>
    <mergeCell ref="P14:Q14"/>
    <mergeCell ref="R14:S14"/>
    <mergeCell ref="P15:Q15"/>
    <mergeCell ref="R15:S15"/>
    <mergeCell ref="D16:E16"/>
    <mergeCell ref="F16:G16"/>
    <mergeCell ref="H16:I16"/>
    <mergeCell ref="J16:K16"/>
    <mergeCell ref="L16:M16"/>
    <mergeCell ref="N16:O16"/>
    <mergeCell ref="P16:Q16"/>
    <mergeCell ref="R16:S16"/>
    <mergeCell ref="D15:E15"/>
    <mergeCell ref="F15:G15"/>
    <mergeCell ref="H15:I15"/>
    <mergeCell ref="J15:K15"/>
    <mergeCell ref="L15:M15"/>
    <mergeCell ref="N15:O15"/>
    <mergeCell ref="P17:Q17"/>
    <mergeCell ref="R17:S17"/>
    <mergeCell ref="D18:E18"/>
    <mergeCell ref="F18:G18"/>
    <mergeCell ref="H18:I18"/>
    <mergeCell ref="J18:K18"/>
    <mergeCell ref="L18:M18"/>
    <mergeCell ref="N18:O18"/>
    <mergeCell ref="P18:Q18"/>
    <mergeCell ref="R18:S18"/>
    <mergeCell ref="D17:E17"/>
    <mergeCell ref="F17:G17"/>
    <mergeCell ref="H17:I17"/>
    <mergeCell ref="J17:K17"/>
    <mergeCell ref="L17:M17"/>
    <mergeCell ref="N17:O17"/>
    <mergeCell ref="P19:Q19"/>
    <mergeCell ref="R19:S19"/>
    <mergeCell ref="D20:E20"/>
    <mergeCell ref="F20:G20"/>
    <mergeCell ref="H20:I20"/>
    <mergeCell ref="J20:K20"/>
    <mergeCell ref="L20:M20"/>
    <mergeCell ref="N20:O20"/>
    <mergeCell ref="P20:Q20"/>
    <mergeCell ref="R20:S20"/>
    <mergeCell ref="D19:E19"/>
    <mergeCell ref="F19:G19"/>
    <mergeCell ref="H19:I19"/>
    <mergeCell ref="J19:K19"/>
    <mergeCell ref="L19:M19"/>
    <mergeCell ref="N19:O19"/>
    <mergeCell ref="P21:Q21"/>
    <mergeCell ref="R21:S21"/>
    <mergeCell ref="D22:E22"/>
    <mergeCell ref="F22:G22"/>
    <mergeCell ref="H22:I22"/>
    <mergeCell ref="J22:K22"/>
    <mergeCell ref="L22:M22"/>
    <mergeCell ref="N22:O22"/>
    <mergeCell ref="P22:Q22"/>
    <mergeCell ref="R22:S22"/>
    <mergeCell ref="D21:E21"/>
    <mergeCell ref="F21:G21"/>
    <mergeCell ref="H21:I21"/>
    <mergeCell ref="J21:K21"/>
    <mergeCell ref="L21:M21"/>
    <mergeCell ref="N21:O21"/>
    <mergeCell ref="P23:Q23"/>
    <mergeCell ref="R23:S23"/>
    <mergeCell ref="D24:E24"/>
    <mergeCell ref="F24:G24"/>
    <mergeCell ref="H24:I24"/>
    <mergeCell ref="J24:K24"/>
    <mergeCell ref="L24:M24"/>
    <mergeCell ref="N24:O24"/>
    <mergeCell ref="P24:Q24"/>
    <mergeCell ref="R24:S24"/>
    <mergeCell ref="D23:E23"/>
    <mergeCell ref="F23:G23"/>
    <mergeCell ref="H23:I23"/>
    <mergeCell ref="J23:K23"/>
    <mergeCell ref="L23:M23"/>
    <mergeCell ref="N23:O23"/>
    <mergeCell ref="P25:Q25"/>
    <mergeCell ref="R25:S25"/>
    <mergeCell ref="D26:E26"/>
    <mergeCell ref="F26:G26"/>
    <mergeCell ref="H26:I26"/>
    <mergeCell ref="J26:K26"/>
    <mergeCell ref="L26:M26"/>
    <mergeCell ref="N26:O26"/>
    <mergeCell ref="P26:Q26"/>
    <mergeCell ref="R26:S26"/>
    <mergeCell ref="D25:E25"/>
    <mergeCell ref="F25:G25"/>
    <mergeCell ref="H25:I25"/>
    <mergeCell ref="J25:K25"/>
    <mergeCell ref="L25:M25"/>
    <mergeCell ref="N25:O25"/>
    <mergeCell ref="P27:Q27"/>
    <mergeCell ref="R27:S27"/>
    <mergeCell ref="D28:E28"/>
    <mergeCell ref="F28:G28"/>
    <mergeCell ref="H28:I28"/>
    <mergeCell ref="J28:K28"/>
    <mergeCell ref="L28:M28"/>
    <mergeCell ref="N28:O28"/>
    <mergeCell ref="P28:Q28"/>
    <mergeCell ref="R28:S28"/>
    <mergeCell ref="D27:E27"/>
    <mergeCell ref="F27:G27"/>
    <mergeCell ref="H27:I27"/>
    <mergeCell ref="J27:K27"/>
    <mergeCell ref="L27:M27"/>
    <mergeCell ref="N27:O27"/>
    <mergeCell ref="P29:Q29"/>
    <mergeCell ref="R29:S29"/>
    <mergeCell ref="D30:E30"/>
    <mergeCell ref="F30:G30"/>
    <mergeCell ref="H30:I30"/>
    <mergeCell ref="J30:K30"/>
    <mergeCell ref="L30:M30"/>
    <mergeCell ref="N30:O30"/>
    <mergeCell ref="P30:Q30"/>
    <mergeCell ref="R30:S30"/>
    <mergeCell ref="D29:E29"/>
    <mergeCell ref="F29:G29"/>
    <mergeCell ref="H29:I29"/>
    <mergeCell ref="J29:K29"/>
    <mergeCell ref="L29:M29"/>
    <mergeCell ref="N29:O29"/>
    <mergeCell ref="P31:Q31"/>
    <mergeCell ref="R31:S31"/>
    <mergeCell ref="D32:E32"/>
    <mergeCell ref="F32:G32"/>
    <mergeCell ref="H32:I32"/>
    <mergeCell ref="J32:K32"/>
    <mergeCell ref="L32:M32"/>
    <mergeCell ref="N32:O32"/>
    <mergeCell ref="P32:Q32"/>
    <mergeCell ref="R32:S32"/>
    <mergeCell ref="D31:E31"/>
    <mergeCell ref="F31:G31"/>
    <mergeCell ref="H31:I31"/>
    <mergeCell ref="J31:K31"/>
    <mergeCell ref="L31:M31"/>
    <mergeCell ref="N31:O31"/>
    <mergeCell ref="P33:Q33"/>
    <mergeCell ref="R33:S33"/>
    <mergeCell ref="D34:E34"/>
    <mergeCell ref="F34:G34"/>
    <mergeCell ref="H34:I34"/>
    <mergeCell ref="J34:K34"/>
    <mergeCell ref="L34:M34"/>
    <mergeCell ref="N34:O34"/>
    <mergeCell ref="P34:Q34"/>
    <mergeCell ref="R34:S34"/>
    <mergeCell ref="D33:E33"/>
    <mergeCell ref="F33:G33"/>
    <mergeCell ref="H33:I33"/>
    <mergeCell ref="J33:K33"/>
    <mergeCell ref="L33:M33"/>
    <mergeCell ref="N33:O33"/>
    <mergeCell ref="P35:Q35"/>
    <mergeCell ref="R35:S35"/>
    <mergeCell ref="D36:E36"/>
    <mergeCell ref="F36:G36"/>
    <mergeCell ref="H36:I36"/>
    <mergeCell ref="J36:K36"/>
    <mergeCell ref="L36:M36"/>
    <mergeCell ref="N36:O36"/>
    <mergeCell ref="P36:Q36"/>
    <mergeCell ref="R36:S36"/>
    <mergeCell ref="D35:E35"/>
    <mergeCell ref="F35:G35"/>
    <mergeCell ref="H35:I35"/>
    <mergeCell ref="J35:K35"/>
    <mergeCell ref="L35:M35"/>
    <mergeCell ref="N35:O35"/>
    <mergeCell ref="P37:Q37"/>
    <mergeCell ref="R37:S37"/>
    <mergeCell ref="D38:E38"/>
    <mergeCell ref="F38:G38"/>
    <mergeCell ref="H38:I38"/>
    <mergeCell ref="J38:K38"/>
    <mergeCell ref="L38:M38"/>
    <mergeCell ref="N38:O38"/>
    <mergeCell ref="P38:Q38"/>
    <mergeCell ref="R38:S38"/>
    <mergeCell ref="D37:E37"/>
    <mergeCell ref="F37:G37"/>
    <mergeCell ref="H37:I37"/>
    <mergeCell ref="J37:K37"/>
    <mergeCell ref="L37:M37"/>
    <mergeCell ref="N37:O37"/>
    <mergeCell ref="P39:Q39"/>
    <mergeCell ref="R39:S39"/>
    <mergeCell ref="D40:E40"/>
    <mergeCell ref="F40:G40"/>
    <mergeCell ref="H40:I40"/>
    <mergeCell ref="J40:K40"/>
    <mergeCell ref="L40:M40"/>
    <mergeCell ref="N40:O40"/>
    <mergeCell ref="P40:Q40"/>
    <mergeCell ref="R40:S40"/>
    <mergeCell ref="D39:E39"/>
    <mergeCell ref="F39:G39"/>
    <mergeCell ref="H39:I39"/>
    <mergeCell ref="J39:K39"/>
    <mergeCell ref="L39:M39"/>
    <mergeCell ref="N39:O39"/>
    <mergeCell ref="P41:Q41"/>
    <mergeCell ref="R41:S41"/>
    <mergeCell ref="D42:E42"/>
    <mergeCell ref="F42:G42"/>
    <mergeCell ref="H42:I42"/>
    <mergeCell ref="J42:K42"/>
    <mergeCell ref="L42:M42"/>
    <mergeCell ref="N42:O42"/>
    <mergeCell ref="P42:Q42"/>
    <mergeCell ref="R42:S42"/>
    <mergeCell ref="D41:E41"/>
    <mergeCell ref="F41:G41"/>
    <mergeCell ref="H41:I41"/>
    <mergeCell ref="J41:K41"/>
    <mergeCell ref="L41:M41"/>
    <mergeCell ref="N41:O41"/>
    <mergeCell ref="P43:Q43"/>
    <mergeCell ref="R43:S43"/>
    <mergeCell ref="B44:J49"/>
    <mergeCell ref="K44:S49"/>
    <mergeCell ref="D43:E43"/>
    <mergeCell ref="F43:G43"/>
    <mergeCell ref="H43:I43"/>
    <mergeCell ref="J43:K43"/>
    <mergeCell ref="L43:M43"/>
    <mergeCell ref="N43:O43"/>
    <mergeCell ref="B13:B43"/>
    <mergeCell ref="D13:E13"/>
    <mergeCell ref="F13:G13"/>
    <mergeCell ref="H13:I13"/>
    <mergeCell ref="J13:K13"/>
    <mergeCell ref="L13:M13"/>
    <mergeCell ref="N13:O13"/>
    <mergeCell ref="P13:Q13"/>
    <mergeCell ref="R13:S13"/>
    <mergeCell ref="D14:E14"/>
    <mergeCell ref="F14:G14"/>
    <mergeCell ref="H14:I14"/>
    <mergeCell ref="J14:K14"/>
    <mergeCell ref="L14:M14"/>
  </mergeCells>
  <pageMargins left="0.7" right="0.7" top="0.75" bottom="0.75" header="0.3" footer="0.3"/>
  <pageSetup scale="74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B050"/>
    <pageSetUpPr fitToPage="1"/>
  </sheetPr>
  <dimension ref="A1:T49"/>
  <sheetViews>
    <sheetView zoomScaleNormal="100" workbookViewId="0">
      <selection activeCell="F13" sqref="F13:G13"/>
    </sheetView>
  </sheetViews>
  <sheetFormatPr baseColWidth="10" defaultRowHeight="15" x14ac:dyDescent="0.25"/>
  <cols>
    <col min="1" max="1" width="2.5703125" style="2" customWidth="1"/>
    <col min="2" max="2" width="13.7109375" style="2" customWidth="1"/>
    <col min="3" max="3" width="5.28515625" style="2" bestFit="1" customWidth="1"/>
    <col min="4" max="4" width="5.7109375" style="2" customWidth="1"/>
    <col min="5" max="5" width="4.42578125" style="2" customWidth="1"/>
    <col min="6" max="19" width="5.7109375" style="2" customWidth="1"/>
    <col min="20" max="20" width="0" hidden="1" customWidth="1"/>
  </cols>
  <sheetData>
    <row r="1" spans="2:20" ht="77.25" customHeight="1" thickBot="1" x14ac:dyDescent="0.3">
      <c r="B1" s="452"/>
      <c r="C1" s="373"/>
      <c r="D1" s="453" t="s">
        <v>206</v>
      </c>
      <c r="E1" s="456"/>
      <c r="F1" s="456"/>
      <c r="G1" s="456"/>
      <c r="H1" s="456"/>
      <c r="I1" s="456"/>
      <c r="J1" s="456"/>
      <c r="K1" s="456"/>
      <c r="L1" s="456"/>
      <c r="M1" s="456"/>
      <c r="N1" s="457"/>
      <c r="O1" s="370"/>
      <c r="P1" s="371"/>
      <c r="Q1" s="371"/>
      <c r="R1" s="371"/>
      <c r="S1" s="372"/>
    </row>
    <row r="2" spans="2:20" ht="15.75" thickBot="1" x14ac:dyDescent="0.3">
      <c r="B2" s="375" t="s">
        <v>72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5"/>
    </row>
    <row r="3" spans="2:20" ht="15.75" thickBot="1" x14ac:dyDescent="0.3">
      <c r="B3" s="375" t="s">
        <v>136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5"/>
    </row>
    <row r="4" spans="2:20" x14ac:dyDescent="0.25">
      <c r="B4" s="26" t="s">
        <v>58</v>
      </c>
      <c r="C4" s="247" t="s">
        <v>96</v>
      </c>
      <c r="D4" s="247"/>
      <c r="E4" s="247"/>
      <c r="F4" s="247"/>
      <c r="G4" s="247"/>
      <c r="H4" s="247"/>
      <c r="I4" s="247"/>
      <c r="J4" s="247"/>
      <c r="K4" s="247"/>
      <c r="L4" s="449"/>
      <c r="M4" s="450" t="s">
        <v>5</v>
      </c>
      <c r="N4" s="451"/>
      <c r="O4" s="247" t="s">
        <v>263</v>
      </c>
      <c r="P4" s="247"/>
      <c r="Q4" s="247"/>
      <c r="R4" s="247"/>
      <c r="S4" s="449"/>
    </row>
    <row r="5" spans="2:20" ht="15.75" thickBot="1" x14ac:dyDescent="0.3">
      <c r="B5" s="27" t="s">
        <v>4</v>
      </c>
      <c r="C5" s="438" t="s">
        <v>235</v>
      </c>
      <c r="D5" s="439"/>
      <c r="E5" s="439"/>
      <c r="F5" s="439"/>
      <c r="G5" s="439"/>
      <c r="H5" s="439"/>
      <c r="I5" s="439"/>
      <c r="J5" s="439"/>
      <c r="K5" s="439"/>
      <c r="L5" s="440"/>
      <c r="M5" s="441" t="s">
        <v>73</v>
      </c>
      <c r="N5" s="442"/>
      <c r="O5" s="443"/>
      <c r="P5" s="443"/>
      <c r="Q5" s="443"/>
      <c r="R5" s="443"/>
      <c r="S5" s="444"/>
    </row>
    <row r="6" spans="2:20" ht="15.75" thickBot="1" x14ac:dyDescent="0.3">
      <c r="B6" s="337"/>
      <c r="C6" s="338"/>
      <c r="D6" s="436" t="s">
        <v>74</v>
      </c>
      <c r="E6" s="460"/>
      <c r="F6" s="460"/>
      <c r="G6" s="437"/>
      <c r="H6" s="436" t="s">
        <v>74</v>
      </c>
      <c r="I6" s="460"/>
      <c r="J6" s="460"/>
      <c r="K6" s="437"/>
      <c r="L6" s="436" t="s">
        <v>74</v>
      </c>
      <c r="M6" s="460"/>
      <c r="N6" s="460"/>
      <c r="O6" s="437"/>
      <c r="P6" s="436" t="s">
        <v>74</v>
      </c>
      <c r="Q6" s="460"/>
      <c r="R6" s="460"/>
      <c r="S6" s="437"/>
    </row>
    <row r="7" spans="2:20" ht="15.75" thickBot="1" x14ac:dyDescent="0.3">
      <c r="B7" s="445"/>
      <c r="C7" s="446"/>
      <c r="D7" s="418">
        <v>40422</v>
      </c>
      <c r="E7" s="419"/>
      <c r="F7" s="419"/>
      <c r="G7" s="435"/>
      <c r="H7" s="418"/>
      <c r="I7" s="419"/>
      <c r="J7" s="419"/>
      <c r="K7" s="435"/>
      <c r="L7" s="418"/>
      <c r="M7" s="419"/>
      <c r="N7" s="419"/>
      <c r="O7" s="419"/>
      <c r="P7" s="418"/>
      <c r="Q7" s="419"/>
      <c r="R7" s="419"/>
      <c r="S7" s="435"/>
    </row>
    <row r="8" spans="2:20" ht="15.75" thickBot="1" x14ac:dyDescent="0.3">
      <c r="B8" s="445"/>
      <c r="C8" s="446"/>
      <c r="D8" s="436" t="s">
        <v>75</v>
      </c>
      <c r="E8" s="460"/>
      <c r="F8" s="460"/>
      <c r="G8" s="437"/>
      <c r="H8" s="418" t="s">
        <v>76</v>
      </c>
      <c r="I8" s="419"/>
      <c r="J8" s="419"/>
      <c r="K8" s="435"/>
      <c r="L8" s="418" t="s">
        <v>76</v>
      </c>
      <c r="M8" s="419"/>
      <c r="N8" s="419"/>
      <c r="O8" s="435"/>
      <c r="P8" s="418" t="s">
        <v>76</v>
      </c>
      <c r="Q8" s="419"/>
      <c r="R8" s="419"/>
      <c r="S8" s="435"/>
    </row>
    <row r="9" spans="2:20" ht="15.75" thickBot="1" x14ac:dyDescent="0.3">
      <c r="B9" s="445"/>
      <c r="C9" s="446"/>
      <c r="D9" s="418" t="s">
        <v>279</v>
      </c>
      <c r="E9" s="419"/>
      <c r="F9" s="419"/>
      <c r="G9" s="435"/>
      <c r="H9" s="418"/>
      <c r="I9" s="419"/>
      <c r="J9" s="419"/>
      <c r="K9" s="435"/>
      <c r="L9" s="418"/>
      <c r="M9" s="419"/>
      <c r="N9" s="419"/>
      <c r="O9" s="435"/>
      <c r="P9" s="418"/>
      <c r="Q9" s="419"/>
      <c r="R9" s="419"/>
      <c r="S9" s="435"/>
    </row>
    <row r="10" spans="2:20" ht="15.75" thickBot="1" x14ac:dyDescent="0.3">
      <c r="B10" s="445"/>
      <c r="C10" s="446"/>
      <c r="D10" s="436" t="s">
        <v>69</v>
      </c>
      <c r="E10" s="460"/>
      <c r="F10" s="460"/>
      <c r="G10" s="437"/>
      <c r="H10" s="418" t="s">
        <v>69</v>
      </c>
      <c r="I10" s="419"/>
      <c r="J10" s="419"/>
      <c r="K10" s="435"/>
      <c r="L10" s="418" t="s">
        <v>69</v>
      </c>
      <c r="M10" s="419"/>
      <c r="N10" s="419"/>
      <c r="O10" s="435"/>
      <c r="P10" s="418" t="s">
        <v>69</v>
      </c>
      <c r="Q10" s="419"/>
      <c r="R10" s="419"/>
      <c r="S10" s="435"/>
    </row>
    <row r="11" spans="2:20" ht="15.75" thickBot="1" x14ac:dyDescent="0.3">
      <c r="B11" s="447"/>
      <c r="C11" s="448"/>
      <c r="D11" s="418" t="s">
        <v>280</v>
      </c>
      <c r="E11" s="419"/>
      <c r="F11" s="419"/>
      <c r="G11" s="435"/>
      <c r="H11" s="418"/>
      <c r="I11" s="419"/>
      <c r="J11" s="419"/>
      <c r="K11" s="435"/>
      <c r="L11" s="418"/>
      <c r="M11" s="419"/>
      <c r="N11" s="419"/>
      <c r="O11" s="435"/>
      <c r="P11" s="418"/>
      <c r="Q11" s="419"/>
      <c r="R11" s="419"/>
      <c r="S11" s="435"/>
    </row>
    <row r="12" spans="2:20" ht="15.75" thickBot="1" x14ac:dyDescent="0.3">
      <c r="B12" s="28" t="s">
        <v>77</v>
      </c>
      <c r="C12" s="29" t="s">
        <v>78</v>
      </c>
      <c r="D12" s="375" t="s">
        <v>14</v>
      </c>
      <c r="E12" s="245"/>
      <c r="F12" s="461" t="s">
        <v>15</v>
      </c>
      <c r="G12" s="462"/>
      <c r="H12" s="461" t="s">
        <v>14</v>
      </c>
      <c r="I12" s="462"/>
      <c r="J12" s="461" t="s">
        <v>15</v>
      </c>
      <c r="K12" s="462"/>
      <c r="L12" s="461" t="s">
        <v>14</v>
      </c>
      <c r="M12" s="462"/>
      <c r="N12" s="461" t="s">
        <v>15</v>
      </c>
      <c r="O12" s="462"/>
      <c r="P12" s="461" t="s">
        <v>14</v>
      </c>
      <c r="Q12" s="462"/>
      <c r="R12" s="461" t="s">
        <v>15</v>
      </c>
      <c r="S12" s="462"/>
    </row>
    <row r="13" spans="2:20" ht="19.5" thickBot="1" x14ac:dyDescent="0.3">
      <c r="B13" s="433" t="s">
        <v>204</v>
      </c>
      <c r="C13" s="37">
        <v>1</v>
      </c>
      <c r="D13" s="375"/>
      <c r="E13" s="245"/>
      <c r="F13" s="375"/>
      <c r="G13" s="245"/>
      <c r="H13" s="375"/>
      <c r="I13" s="245"/>
      <c r="J13" s="375"/>
      <c r="K13" s="245"/>
      <c r="L13" s="375"/>
      <c r="M13" s="245"/>
      <c r="N13" s="375"/>
      <c r="O13" s="245"/>
      <c r="P13" s="375"/>
      <c r="Q13" s="245"/>
      <c r="R13" s="375"/>
      <c r="S13" s="245"/>
      <c r="T13" t="s">
        <v>223</v>
      </c>
    </row>
    <row r="14" spans="2:20" ht="19.5" thickBot="1" x14ac:dyDescent="0.3">
      <c r="B14" s="434"/>
      <c r="C14" s="45">
        <v>2</v>
      </c>
      <c r="D14" s="375"/>
      <c r="E14" s="245"/>
      <c r="F14" s="375"/>
      <c r="G14" s="245"/>
      <c r="H14" s="375"/>
      <c r="I14" s="245"/>
      <c r="J14" s="375"/>
      <c r="K14" s="245"/>
      <c r="L14" s="375"/>
      <c r="M14" s="245"/>
      <c r="N14" s="375"/>
      <c r="O14" s="245"/>
      <c r="P14" s="375"/>
      <c r="Q14" s="245"/>
      <c r="R14" s="375"/>
      <c r="S14" s="245"/>
    </row>
    <row r="15" spans="2:20" ht="19.5" thickBot="1" x14ac:dyDescent="0.3">
      <c r="B15" s="434"/>
      <c r="C15" s="45">
        <v>3</v>
      </c>
      <c r="D15" s="375"/>
      <c r="E15" s="245"/>
      <c r="F15" s="375"/>
      <c r="G15" s="245"/>
      <c r="H15" s="375"/>
      <c r="I15" s="245"/>
      <c r="J15" s="375"/>
      <c r="K15" s="245"/>
      <c r="L15" s="375"/>
      <c r="M15" s="245"/>
      <c r="N15" s="375"/>
      <c r="O15" s="245"/>
      <c r="P15" s="375"/>
      <c r="Q15" s="245"/>
      <c r="R15" s="375"/>
      <c r="S15" s="245"/>
    </row>
    <row r="16" spans="2:20" ht="19.5" thickBot="1" x14ac:dyDescent="0.3">
      <c r="B16" s="434"/>
      <c r="C16" s="45">
        <v>4</v>
      </c>
      <c r="D16" s="375"/>
      <c r="E16" s="245"/>
      <c r="F16" s="375"/>
      <c r="G16" s="245"/>
      <c r="H16" s="375"/>
      <c r="I16" s="245"/>
      <c r="J16" s="375"/>
      <c r="K16" s="245"/>
      <c r="L16" s="375"/>
      <c r="M16" s="245"/>
      <c r="N16" s="375"/>
      <c r="O16" s="245"/>
      <c r="P16" s="375"/>
      <c r="Q16" s="245"/>
      <c r="R16" s="375"/>
      <c r="S16" s="245"/>
    </row>
    <row r="17" spans="1:19" ht="19.5" thickBot="1" x14ac:dyDescent="0.3">
      <c r="B17" s="434"/>
      <c r="C17" s="45">
        <v>5</v>
      </c>
      <c r="D17" s="375"/>
      <c r="E17" s="245"/>
      <c r="F17" s="375"/>
      <c r="G17" s="245"/>
      <c r="H17" s="375"/>
      <c r="I17" s="245"/>
      <c r="J17" s="375"/>
      <c r="K17" s="245"/>
      <c r="L17" s="375"/>
      <c r="M17" s="245"/>
      <c r="N17" s="375"/>
      <c r="O17" s="245"/>
      <c r="P17" s="375"/>
      <c r="Q17" s="245"/>
      <c r="R17" s="375"/>
      <c r="S17" s="245"/>
    </row>
    <row r="18" spans="1:19" ht="19.5" thickBot="1" x14ac:dyDescent="0.3">
      <c r="B18" s="434"/>
      <c r="C18" s="45">
        <v>6</v>
      </c>
      <c r="D18" s="375"/>
      <c r="E18" s="245"/>
      <c r="F18" s="375"/>
      <c r="G18" s="245"/>
      <c r="H18" s="375"/>
      <c r="I18" s="245"/>
      <c r="J18" s="375"/>
      <c r="K18" s="245"/>
      <c r="L18" s="375"/>
      <c r="M18" s="245"/>
      <c r="N18" s="375"/>
      <c r="O18" s="245"/>
      <c r="P18" s="375"/>
      <c r="Q18" s="245"/>
      <c r="R18" s="375"/>
      <c r="S18" s="245"/>
    </row>
    <row r="19" spans="1:19" ht="19.5" thickBot="1" x14ac:dyDescent="0.3">
      <c r="B19" s="434"/>
      <c r="C19" s="45">
        <v>7</v>
      </c>
      <c r="D19" s="375"/>
      <c r="E19" s="245"/>
      <c r="F19" s="375"/>
      <c r="G19" s="245"/>
      <c r="H19" s="375"/>
      <c r="I19" s="245"/>
      <c r="J19" s="375"/>
      <c r="K19" s="245"/>
      <c r="L19" s="375"/>
      <c r="M19" s="245"/>
      <c r="N19" s="375"/>
      <c r="O19" s="245"/>
      <c r="P19" s="375"/>
      <c r="Q19" s="245"/>
      <c r="R19" s="375"/>
      <c r="S19" s="245"/>
    </row>
    <row r="20" spans="1:19" ht="19.5" thickBot="1" x14ac:dyDescent="0.3">
      <c r="B20" s="434"/>
      <c r="C20" s="45">
        <v>8</v>
      </c>
      <c r="D20" s="375"/>
      <c r="E20" s="245"/>
      <c r="F20" s="375"/>
      <c r="G20" s="245"/>
      <c r="H20" s="375"/>
      <c r="I20" s="245"/>
      <c r="J20" s="375"/>
      <c r="K20" s="245"/>
      <c r="L20" s="375"/>
      <c r="M20" s="245"/>
      <c r="N20" s="375"/>
      <c r="O20" s="245"/>
      <c r="P20" s="375"/>
      <c r="Q20" s="245"/>
      <c r="R20" s="375"/>
      <c r="S20" s="245"/>
    </row>
    <row r="21" spans="1:19" ht="19.5" thickBot="1" x14ac:dyDescent="0.3">
      <c r="B21" s="434"/>
      <c r="C21" s="45">
        <v>9</v>
      </c>
      <c r="D21" s="375"/>
      <c r="E21" s="245"/>
      <c r="F21" s="375"/>
      <c r="G21" s="245"/>
      <c r="H21" s="375"/>
      <c r="I21" s="245"/>
      <c r="J21" s="375"/>
      <c r="K21" s="245"/>
      <c r="L21" s="375"/>
      <c r="M21" s="245"/>
      <c r="N21" s="375"/>
      <c r="O21" s="245"/>
      <c r="P21" s="375"/>
      <c r="Q21" s="245"/>
      <c r="R21" s="375"/>
      <c r="S21" s="245"/>
    </row>
    <row r="22" spans="1:19" ht="19.5" thickBot="1" x14ac:dyDescent="0.3">
      <c r="B22" s="434"/>
      <c r="C22" s="45">
        <v>10</v>
      </c>
      <c r="D22" s="375"/>
      <c r="E22" s="245"/>
      <c r="F22" s="375"/>
      <c r="G22" s="245"/>
      <c r="H22" s="375"/>
      <c r="I22" s="245"/>
      <c r="J22" s="375"/>
      <c r="K22" s="245"/>
      <c r="L22" s="375"/>
      <c r="M22" s="245"/>
      <c r="N22" s="375"/>
      <c r="O22" s="245"/>
      <c r="P22" s="375"/>
      <c r="Q22" s="245"/>
      <c r="R22" s="375"/>
      <c r="S22" s="245"/>
    </row>
    <row r="23" spans="1:19" ht="19.5" thickBot="1" x14ac:dyDescent="0.3">
      <c r="B23" s="434"/>
      <c r="C23" s="45">
        <v>11</v>
      </c>
      <c r="D23" s="375"/>
      <c r="E23" s="245"/>
      <c r="F23" s="375"/>
      <c r="G23" s="245"/>
      <c r="H23" s="375"/>
      <c r="I23" s="245"/>
      <c r="J23" s="375"/>
      <c r="K23" s="245"/>
      <c r="L23" s="375"/>
      <c r="M23" s="245"/>
      <c r="N23" s="375"/>
      <c r="O23" s="245"/>
      <c r="P23" s="375"/>
      <c r="Q23" s="245"/>
      <c r="R23" s="375"/>
      <c r="S23" s="245"/>
    </row>
    <row r="24" spans="1:19" ht="19.5" thickBot="1" x14ac:dyDescent="0.3">
      <c r="B24" s="434"/>
      <c r="C24" s="45">
        <v>12</v>
      </c>
      <c r="D24" s="375"/>
      <c r="E24" s="245"/>
      <c r="F24" s="375"/>
      <c r="G24" s="245"/>
      <c r="H24" s="375"/>
      <c r="I24" s="245"/>
      <c r="J24" s="375"/>
      <c r="K24" s="245"/>
      <c r="L24" s="375"/>
      <c r="M24" s="245"/>
      <c r="N24" s="375"/>
      <c r="O24" s="245"/>
      <c r="P24" s="375"/>
      <c r="Q24" s="245"/>
      <c r="R24" s="375"/>
      <c r="S24" s="245"/>
    </row>
    <row r="25" spans="1:19" ht="19.5" thickBot="1" x14ac:dyDescent="0.3">
      <c r="B25" s="434"/>
      <c r="C25" s="45">
        <v>13</v>
      </c>
      <c r="D25" s="375"/>
      <c r="E25" s="245"/>
      <c r="F25" s="375"/>
      <c r="G25" s="245"/>
      <c r="H25" s="375"/>
      <c r="I25" s="245"/>
      <c r="J25" s="375"/>
      <c r="K25" s="245"/>
      <c r="L25" s="375"/>
      <c r="M25" s="245"/>
      <c r="N25" s="375"/>
      <c r="O25" s="245"/>
      <c r="P25" s="375"/>
      <c r="Q25" s="245"/>
      <c r="R25" s="375"/>
      <c r="S25" s="245"/>
    </row>
    <row r="26" spans="1:19" ht="19.5" thickBot="1" x14ac:dyDescent="0.3">
      <c r="B26" s="434"/>
      <c r="C26" s="45">
        <v>14</v>
      </c>
      <c r="D26" s="375"/>
      <c r="E26" s="245"/>
      <c r="F26" s="375"/>
      <c r="G26" s="245"/>
      <c r="H26" s="375"/>
      <c r="I26" s="245"/>
      <c r="J26" s="375"/>
      <c r="K26" s="245"/>
      <c r="L26" s="375"/>
      <c r="M26" s="245"/>
      <c r="N26" s="375"/>
      <c r="O26" s="245"/>
      <c r="P26" s="375"/>
      <c r="Q26" s="245"/>
      <c r="R26" s="375"/>
      <c r="S26" s="245"/>
    </row>
    <row r="27" spans="1:19" ht="19.5" thickBot="1" x14ac:dyDescent="0.3">
      <c r="B27" s="434"/>
      <c r="C27" s="45">
        <v>15</v>
      </c>
      <c r="D27" s="375"/>
      <c r="E27" s="245"/>
      <c r="F27" s="375"/>
      <c r="G27" s="245"/>
      <c r="H27" s="375"/>
      <c r="I27" s="245"/>
      <c r="J27" s="375"/>
      <c r="K27" s="245"/>
      <c r="L27" s="375"/>
      <c r="M27" s="245"/>
      <c r="N27" s="375"/>
      <c r="O27" s="245"/>
      <c r="P27" s="375"/>
      <c r="Q27" s="245"/>
      <c r="R27" s="375"/>
      <c r="S27" s="245"/>
    </row>
    <row r="28" spans="1:19" ht="19.5" thickBot="1" x14ac:dyDescent="0.3">
      <c r="B28" s="434"/>
      <c r="C28" s="45">
        <v>16</v>
      </c>
      <c r="D28" s="375"/>
      <c r="E28" s="245"/>
      <c r="F28" s="375"/>
      <c r="G28" s="245"/>
      <c r="H28" s="375"/>
      <c r="I28" s="245"/>
      <c r="J28" s="375"/>
      <c r="K28" s="245"/>
      <c r="L28" s="375"/>
      <c r="M28" s="245"/>
      <c r="N28" s="375"/>
      <c r="O28" s="245"/>
      <c r="P28" s="375"/>
      <c r="Q28" s="245"/>
      <c r="R28" s="375"/>
      <c r="S28" s="245"/>
    </row>
    <row r="29" spans="1:19" ht="19.5" thickBot="1" x14ac:dyDescent="0.3">
      <c r="B29" s="434"/>
      <c r="C29" s="45">
        <v>17</v>
      </c>
      <c r="D29" s="375"/>
      <c r="E29" s="245"/>
      <c r="F29" s="375"/>
      <c r="G29" s="245"/>
      <c r="H29" s="375"/>
      <c r="I29" s="245"/>
      <c r="J29" s="375"/>
      <c r="K29" s="245"/>
      <c r="L29" s="375"/>
      <c r="M29" s="245"/>
      <c r="N29" s="375"/>
      <c r="O29" s="245"/>
      <c r="P29" s="375"/>
      <c r="Q29" s="245"/>
      <c r="R29" s="375"/>
      <c r="S29" s="245"/>
    </row>
    <row r="30" spans="1:19" ht="19.5" thickBot="1" x14ac:dyDescent="0.3">
      <c r="A30" s="25"/>
      <c r="B30" s="434"/>
      <c r="C30" s="45">
        <v>18</v>
      </c>
      <c r="D30" s="375"/>
      <c r="E30" s="245"/>
      <c r="F30" s="375"/>
      <c r="G30" s="245"/>
      <c r="H30" s="375"/>
      <c r="I30" s="245"/>
      <c r="J30" s="375"/>
      <c r="K30" s="245"/>
      <c r="L30" s="375"/>
      <c r="M30" s="245"/>
      <c r="N30" s="375"/>
      <c r="O30" s="245"/>
      <c r="P30" s="375"/>
      <c r="Q30" s="245"/>
      <c r="R30" s="375"/>
      <c r="S30" s="245"/>
    </row>
    <row r="31" spans="1:19" ht="19.5" thickBot="1" x14ac:dyDescent="0.3">
      <c r="A31" s="25"/>
      <c r="B31" s="434"/>
      <c r="C31" s="45">
        <v>19</v>
      </c>
      <c r="D31" s="375"/>
      <c r="E31" s="245"/>
      <c r="F31" s="375"/>
      <c r="G31" s="245"/>
      <c r="H31" s="375"/>
      <c r="I31" s="245"/>
      <c r="J31" s="375"/>
      <c r="K31" s="245"/>
      <c r="L31" s="375"/>
      <c r="M31" s="245"/>
      <c r="N31" s="375"/>
      <c r="O31" s="245"/>
      <c r="P31" s="375"/>
      <c r="Q31" s="245"/>
      <c r="R31" s="375"/>
      <c r="S31" s="245"/>
    </row>
    <row r="32" spans="1:19" ht="19.5" thickBot="1" x14ac:dyDescent="0.3">
      <c r="A32" s="25"/>
      <c r="B32" s="434"/>
      <c r="C32" s="45">
        <v>20</v>
      </c>
      <c r="D32" s="375"/>
      <c r="E32" s="245"/>
      <c r="F32" s="375"/>
      <c r="G32" s="245"/>
      <c r="H32" s="375"/>
      <c r="I32" s="245"/>
      <c r="J32" s="375"/>
      <c r="K32" s="245"/>
      <c r="L32" s="375"/>
      <c r="M32" s="245"/>
      <c r="N32" s="375"/>
      <c r="O32" s="245"/>
      <c r="P32" s="375"/>
      <c r="Q32" s="245"/>
      <c r="R32" s="375"/>
      <c r="S32" s="245"/>
    </row>
    <row r="33" spans="1:19" ht="19.5" thickBot="1" x14ac:dyDescent="0.3">
      <c r="A33" s="25"/>
      <c r="B33" s="434"/>
      <c r="C33" s="45">
        <v>21</v>
      </c>
      <c r="D33" s="375"/>
      <c r="E33" s="245"/>
      <c r="F33" s="375"/>
      <c r="G33" s="245"/>
      <c r="H33" s="375"/>
      <c r="I33" s="245"/>
      <c r="J33" s="375"/>
      <c r="K33" s="245"/>
      <c r="L33" s="375"/>
      <c r="M33" s="245"/>
      <c r="N33" s="375"/>
      <c r="O33" s="245"/>
      <c r="P33" s="375"/>
      <c r="Q33" s="245"/>
      <c r="R33" s="375"/>
      <c r="S33" s="245"/>
    </row>
    <row r="34" spans="1:19" ht="19.5" thickBot="1" x14ac:dyDescent="0.3">
      <c r="A34" s="25"/>
      <c r="B34" s="434"/>
      <c r="C34" s="45">
        <v>22</v>
      </c>
      <c r="D34" s="375"/>
      <c r="E34" s="245"/>
      <c r="F34" s="375"/>
      <c r="G34" s="245"/>
      <c r="H34" s="375"/>
      <c r="I34" s="245"/>
      <c r="J34" s="375"/>
      <c r="K34" s="245"/>
      <c r="L34" s="375"/>
      <c r="M34" s="245"/>
      <c r="N34" s="375"/>
      <c r="O34" s="245"/>
      <c r="P34" s="375"/>
      <c r="Q34" s="245"/>
      <c r="R34" s="375"/>
      <c r="S34" s="245"/>
    </row>
    <row r="35" spans="1:19" ht="19.5" thickBot="1" x14ac:dyDescent="0.3">
      <c r="A35" s="25"/>
      <c r="B35" s="434"/>
      <c r="C35" s="45">
        <v>23</v>
      </c>
      <c r="D35" s="375"/>
      <c r="E35" s="245"/>
      <c r="F35" s="375"/>
      <c r="G35" s="245"/>
      <c r="H35" s="375"/>
      <c r="I35" s="245"/>
      <c r="J35" s="375"/>
      <c r="K35" s="245"/>
      <c r="L35" s="375"/>
      <c r="M35" s="245"/>
      <c r="N35" s="375"/>
      <c r="O35" s="245"/>
      <c r="P35" s="375"/>
      <c r="Q35" s="245"/>
      <c r="R35" s="375"/>
      <c r="S35" s="245"/>
    </row>
    <row r="36" spans="1:19" ht="19.5" thickBot="1" x14ac:dyDescent="0.3">
      <c r="A36" s="25"/>
      <c r="B36" s="434"/>
      <c r="C36" s="45">
        <v>24</v>
      </c>
      <c r="D36" s="375"/>
      <c r="E36" s="245"/>
      <c r="F36" s="375"/>
      <c r="G36" s="245"/>
      <c r="H36" s="375"/>
      <c r="I36" s="245"/>
      <c r="J36" s="375"/>
      <c r="K36" s="245"/>
      <c r="L36" s="375"/>
      <c r="M36" s="245"/>
      <c r="N36" s="375"/>
      <c r="O36" s="245"/>
      <c r="P36" s="375"/>
      <c r="Q36" s="245"/>
      <c r="R36" s="375"/>
      <c r="S36" s="245"/>
    </row>
    <row r="37" spans="1:19" ht="19.5" thickBot="1" x14ac:dyDescent="0.3">
      <c r="B37" s="434"/>
      <c r="C37" s="45">
        <v>25</v>
      </c>
      <c r="D37" s="375"/>
      <c r="E37" s="245"/>
      <c r="F37" s="375"/>
      <c r="G37" s="245"/>
      <c r="H37" s="375"/>
      <c r="I37" s="245"/>
      <c r="J37" s="375"/>
      <c r="K37" s="245"/>
      <c r="L37" s="375"/>
      <c r="M37" s="245"/>
      <c r="N37" s="375"/>
      <c r="O37" s="245"/>
      <c r="P37" s="375"/>
      <c r="Q37" s="245"/>
      <c r="R37" s="375"/>
      <c r="S37" s="245"/>
    </row>
    <row r="38" spans="1:19" ht="19.5" thickBot="1" x14ac:dyDescent="0.3">
      <c r="B38" s="434"/>
      <c r="C38" s="45">
        <v>26</v>
      </c>
      <c r="D38" s="375"/>
      <c r="E38" s="245"/>
      <c r="F38" s="375"/>
      <c r="G38" s="245"/>
      <c r="H38" s="375"/>
      <c r="I38" s="245"/>
      <c r="J38" s="375"/>
      <c r="K38" s="245"/>
      <c r="L38" s="375"/>
      <c r="M38" s="245"/>
      <c r="N38" s="375"/>
      <c r="O38" s="245"/>
      <c r="P38" s="375"/>
      <c r="Q38" s="245"/>
      <c r="R38" s="375"/>
      <c r="S38" s="245"/>
    </row>
    <row r="39" spans="1:19" ht="19.5" thickBot="1" x14ac:dyDescent="0.3">
      <c r="B39" s="434"/>
      <c r="C39" s="45">
        <v>27</v>
      </c>
      <c r="D39" s="375"/>
      <c r="E39" s="245"/>
      <c r="F39" s="375"/>
      <c r="G39" s="245"/>
      <c r="H39" s="375"/>
      <c r="I39" s="245"/>
      <c r="J39" s="375"/>
      <c r="K39" s="245"/>
      <c r="L39" s="375"/>
      <c r="M39" s="245"/>
      <c r="N39" s="375"/>
      <c r="O39" s="245"/>
      <c r="P39" s="375"/>
      <c r="Q39" s="245"/>
      <c r="R39" s="375"/>
      <c r="S39" s="245"/>
    </row>
    <row r="40" spans="1:19" ht="19.5" thickBot="1" x14ac:dyDescent="0.3">
      <c r="B40" s="434"/>
      <c r="C40" s="45">
        <v>28</v>
      </c>
      <c r="D40" s="375"/>
      <c r="E40" s="245"/>
      <c r="F40" s="375"/>
      <c r="G40" s="245"/>
      <c r="H40" s="375"/>
      <c r="I40" s="245"/>
      <c r="J40" s="375"/>
      <c r="K40" s="245"/>
      <c r="L40" s="375"/>
      <c r="M40" s="245"/>
      <c r="N40" s="375"/>
      <c r="O40" s="245"/>
      <c r="P40" s="375"/>
      <c r="Q40" s="245"/>
      <c r="R40" s="375"/>
      <c r="S40" s="245"/>
    </row>
    <row r="41" spans="1:19" ht="19.5" thickBot="1" x14ac:dyDescent="0.3">
      <c r="B41" s="434"/>
      <c r="C41" s="45">
        <v>29</v>
      </c>
      <c r="D41" s="375"/>
      <c r="E41" s="245"/>
      <c r="F41" s="375"/>
      <c r="G41" s="245"/>
      <c r="H41" s="375"/>
      <c r="I41" s="245"/>
      <c r="J41" s="375"/>
      <c r="K41" s="245"/>
      <c r="L41" s="375"/>
      <c r="M41" s="245"/>
      <c r="N41" s="375"/>
      <c r="O41" s="245"/>
      <c r="P41" s="375"/>
      <c r="Q41" s="245"/>
      <c r="R41" s="375"/>
      <c r="S41" s="245"/>
    </row>
    <row r="42" spans="1:19" ht="19.5" thickBot="1" x14ac:dyDescent="0.3">
      <c r="B42" s="434"/>
      <c r="C42" s="45">
        <v>30</v>
      </c>
      <c r="D42" s="375"/>
      <c r="E42" s="245"/>
      <c r="F42" s="375"/>
      <c r="G42" s="245"/>
      <c r="H42" s="375"/>
      <c r="I42" s="245"/>
      <c r="J42" s="375"/>
      <c r="K42" s="245"/>
      <c r="L42" s="375"/>
      <c r="M42" s="245"/>
      <c r="N42" s="375"/>
      <c r="O42" s="245"/>
      <c r="P42" s="375"/>
      <c r="Q42" s="245"/>
      <c r="R42" s="375"/>
      <c r="S42" s="245"/>
    </row>
    <row r="43" spans="1:19" ht="19.5" thickBot="1" x14ac:dyDescent="0.3">
      <c r="B43" s="434"/>
      <c r="C43" s="50">
        <v>31</v>
      </c>
      <c r="D43" s="375"/>
      <c r="E43" s="245"/>
      <c r="F43" s="375"/>
      <c r="G43" s="245"/>
      <c r="H43" s="375"/>
      <c r="I43" s="245"/>
      <c r="J43" s="375"/>
      <c r="K43" s="245"/>
      <c r="L43" s="375"/>
      <c r="M43" s="245"/>
      <c r="N43" s="375"/>
      <c r="O43" s="245"/>
      <c r="P43" s="375"/>
      <c r="Q43" s="245"/>
      <c r="R43" s="375"/>
      <c r="S43" s="245"/>
    </row>
    <row r="44" spans="1:19" ht="15" customHeight="1" x14ac:dyDescent="0.25">
      <c r="B44" s="191" t="s">
        <v>205</v>
      </c>
      <c r="C44" s="192"/>
      <c r="D44" s="192"/>
      <c r="E44" s="192"/>
      <c r="F44" s="192"/>
      <c r="G44" s="192"/>
      <c r="H44" s="192"/>
      <c r="I44" s="192"/>
      <c r="J44" s="193"/>
      <c r="K44" s="191" t="s">
        <v>199</v>
      </c>
      <c r="L44" s="192"/>
      <c r="M44" s="192"/>
      <c r="N44" s="192"/>
      <c r="O44" s="192"/>
      <c r="P44" s="192"/>
      <c r="Q44" s="192"/>
      <c r="R44" s="192"/>
      <c r="S44" s="193"/>
    </row>
    <row r="45" spans="1:19" ht="15" customHeight="1" x14ac:dyDescent="0.25">
      <c r="B45" s="194"/>
      <c r="C45" s="195"/>
      <c r="D45" s="195"/>
      <c r="E45" s="195"/>
      <c r="F45" s="195"/>
      <c r="G45" s="195"/>
      <c r="H45" s="195"/>
      <c r="I45" s="195"/>
      <c r="J45" s="196"/>
      <c r="K45" s="194"/>
      <c r="L45" s="195"/>
      <c r="M45" s="195"/>
      <c r="N45" s="195"/>
      <c r="O45" s="195"/>
      <c r="P45" s="195"/>
      <c r="Q45" s="195"/>
      <c r="R45" s="195"/>
      <c r="S45" s="196"/>
    </row>
    <row r="46" spans="1:19" ht="15" customHeight="1" x14ac:dyDescent="0.25">
      <c r="B46" s="194"/>
      <c r="C46" s="195"/>
      <c r="D46" s="195"/>
      <c r="E46" s="195"/>
      <c r="F46" s="195"/>
      <c r="G46" s="195"/>
      <c r="H46" s="195"/>
      <c r="I46" s="195"/>
      <c r="J46" s="196"/>
      <c r="K46" s="194"/>
      <c r="L46" s="195"/>
      <c r="M46" s="195"/>
      <c r="N46" s="195"/>
      <c r="O46" s="195"/>
      <c r="P46" s="195"/>
      <c r="Q46" s="195"/>
      <c r="R46" s="195"/>
      <c r="S46" s="196"/>
    </row>
    <row r="47" spans="1:19" x14ac:dyDescent="0.25">
      <c r="B47" s="194"/>
      <c r="C47" s="195"/>
      <c r="D47" s="195"/>
      <c r="E47" s="195"/>
      <c r="F47" s="195"/>
      <c r="G47" s="195"/>
      <c r="H47" s="195"/>
      <c r="I47" s="195"/>
      <c r="J47" s="196"/>
      <c r="K47" s="194"/>
      <c r="L47" s="195"/>
      <c r="M47" s="195"/>
      <c r="N47" s="195"/>
      <c r="O47" s="195"/>
      <c r="P47" s="195"/>
      <c r="Q47" s="195"/>
      <c r="R47" s="195"/>
      <c r="S47" s="196"/>
    </row>
    <row r="48" spans="1:19" x14ac:dyDescent="0.25">
      <c r="B48" s="194"/>
      <c r="C48" s="195"/>
      <c r="D48" s="195"/>
      <c r="E48" s="195"/>
      <c r="F48" s="195"/>
      <c r="G48" s="195"/>
      <c r="H48" s="195"/>
      <c r="I48" s="195"/>
      <c r="J48" s="196"/>
      <c r="K48" s="194"/>
      <c r="L48" s="195"/>
      <c r="M48" s="195"/>
      <c r="N48" s="195"/>
      <c r="O48" s="195"/>
      <c r="P48" s="195"/>
      <c r="Q48" s="195"/>
      <c r="R48" s="195"/>
      <c r="S48" s="196"/>
    </row>
    <row r="49" spans="2:19" ht="15.75" thickBot="1" x14ac:dyDescent="0.3">
      <c r="B49" s="197"/>
      <c r="C49" s="198"/>
      <c r="D49" s="198"/>
      <c r="E49" s="198"/>
      <c r="F49" s="198"/>
      <c r="G49" s="198"/>
      <c r="H49" s="198"/>
      <c r="I49" s="198"/>
      <c r="J49" s="199"/>
      <c r="K49" s="197"/>
      <c r="L49" s="198"/>
      <c r="M49" s="198"/>
      <c r="N49" s="198"/>
      <c r="O49" s="198"/>
      <c r="P49" s="198"/>
      <c r="Q49" s="198"/>
      <c r="R49" s="198"/>
      <c r="S49" s="199"/>
    </row>
  </sheetData>
  <mergeCells count="295">
    <mergeCell ref="P43:Q43"/>
    <mergeCell ref="R43:S43"/>
    <mergeCell ref="B44:J49"/>
    <mergeCell ref="K44:S49"/>
    <mergeCell ref="D43:E43"/>
    <mergeCell ref="F43:G43"/>
    <mergeCell ref="H43:I43"/>
    <mergeCell ref="J43:K43"/>
    <mergeCell ref="L43:M43"/>
    <mergeCell ref="N43:O43"/>
    <mergeCell ref="B13:B43"/>
    <mergeCell ref="D13:E13"/>
    <mergeCell ref="F13:G13"/>
    <mergeCell ref="H13:I13"/>
    <mergeCell ref="J13:K13"/>
    <mergeCell ref="L13:M13"/>
    <mergeCell ref="N13:O13"/>
    <mergeCell ref="P13:Q13"/>
    <mergeCell ref="R13:S13"/>
    <mergeCell ref="D14:E14"/>
    <mergeCell ref="F14:G14"/>
    <mergeCell ref="H14:I14"/>
    <mergeCell ref="J14:K14"/>
    <mergeCell ref="L14:M14"/>
    <mergeCell ref="P41:Q41"/>
    <mergeCell ref="R41:S41"/>
    <mergeCell ref="D42:E42"/>
    <mergeCell ref="F42:G42"/>
    <mergeCell ref="H42:I42"/>
    <mergeCell ref="J42:K42"/>
    <mergeCell ref="L42:M42"/>
    <mergeCell ref="N42:O42"/>
    <mergeCell ref="P42:Q42"/>
    <mergeCell ref="R42:S42"/>
    <mergeCell ref="D41:E41"/>
    <mergeCell ref="F41:G41"/>
    <mergeCell ref="H41:I41"/>
    <mergeCell ref="J41:K41"/>
    <mergeCell ref="L41:M41"/>
    <mergeCell ref="N41:O41"/>
    <mergeCell ref="P39:Q39"/>
    <mergeCell ref="R39:S39"/>
    <mergeCell ref="D40:E40"/>
    <mergeCell ref="F40:G40"/>
    <mergeCell ref="H40:I40"/>
    <mergeCell ref="J40:K40"/>
    <mergeCell ref="L40:M40"/>
    <mergeCell ref="N40:O40"/>
    <mergeCell ref="P40:Q40"/>
    <mergeCell ref="R40:S40"/>
    <mergeCell ref="D39:E39"/>
    <mergeCell ref="F39:G39"/>
    <mergeCell ref="H39:I39"/>
    <mergeCell ref="J39:K39"/>
    <mergeCell ref="L39:M39"/>
    <mergeCell ref="N39:O39"/>
    <mergeCell ref="P37:Q37"/>
    <mergeCell ref="R37:S37"/>
    <mergeCell ref="D38:E38"/>
    <mergeCell ref="F38:G38"/>
    <mergeCell ref="H38:I38"/>
    <mergeCell ref="J38:K38"/>
    <mergeCell ref="L38:M38"/>
    <mergeCell ref="N38:O38"/>
    <mergeCell ref="P38:Q38"/>
    <mergeCell ref="R38:S38"/>
    <mergeCell ref="D37:E37"/>
    <mergeCell ref="F37:G37"/>
    <mergeCell ref="H37:I37"/>
    <mergeCell ref="J37:K37"/>
    <mergeCell ref="L37:M37"/>
    <mergeCell ref="N37:O37"/>
    <mergeCell ref="P35:Q35"/>
    <mergeCell ref="R35:S35"/>
    <mergeCell ref="D36:E36"/>
    <mergeCell ref="F36:G36"/>
    <mergeCell ref="H36:I36"/>
    <mergeCell ref="J36:K36"/>
    <mergeCell ref="L36:M36"/>
    <mergeCell ref="N36:O36"/>
    <mergeCell ref="P36:Q36"/>
    <mergeCell ref="R36:S36"/>
    <mergeCell ref="D35:E35"/>
    <mergeCell ref="F35:G35"/>
    <mergeCell ref="H35:I35"/>
    <mergeCell ref="J35:K35"/>
    <mergeCell ref="L35:M35"/>
    <mergeCell ref="N35:O35"/>
    <mergeCell ref="P33:Q33"/>
    <mergeCell ref="R33:S33"/>
    <mergeCell ref="D34:E34"/>
    <mergeCell ref="F34:G34"/>
    <mergeCell ref="H34:I34"/>
    <mergeCell ref="J34:K34"/>
    <mergeCell ref="L34:M34"/>
    <mergeCell ref="N34:O34"/>
    <mergeCell ref="P34:Q34"/>
    <mergeCell ref="R34:S34"/>
    <mergeCell ref="D33:E33"/>
    <mergeCell ref="F33:G33"/>
    <mergeCell ref="H33:I33"/>
    <mergeCell ref="J33:K33"/>
    <mergeCell ref="L33:M33"/>
    <mergeCell ref="N33:O33"/>
    <mergeCell ref="P31:Q31"/>
    <mergeCell ref="R31:S31"/>
    <mergeCell ref="D32:E32"/>
    <mergeCell ref="F32:G32"/>
    <mergeCell ref="H32:I32"/>
    <mergeCell ref="J32:K32"/>
    <mergeCell ref="L32:M32"/>
    <mergeCell ref="N32:O32"/>
    <mergeCell ref="P32:Q32"/>
    <mergeCell ref="R32:S32"/>
    <mergeCell ref="D31:E31"/>
    <mergeCell ref="F31:G31"/>
    <mergeCell ref="H31:I31"/>
    <mergeCell ref="J31:K31"/>
    <mergeCell ref="L31:M31"/>
    <mergeCell ref="N31:O31"/>
    <mergeCell ref="P29:Q29"/>
    <mergeCell ref="R29:S29"/>
    <mergeCell ref="D30:E30"/>
    <mergeCell ref="F30:G30"/>
    <mergeCell ref="H30:I30"/>
    <mergeCell ref="J30:K30"/>
    <mergeCell ref="L30:M30"/>
    <mergeCell ref="N30:O30"/>
    <mergeCell ref="P30:Q30"/>
    <mergeCell ref="R30:S30"/>
    <mergeCell ref="D29:E29"/>
    <mergeCell ref="F29:G29"/>
    <mergeCell ref="H29:I29"/>
    <mergeCell ref="J29:K29"/>
    <mergeCell ref="L29:M29"/>
    <mergeCell ref="N29:O29"/>
    <mergeCell ref="P27:Q27"/>
    <mergeCell ref="R27:S27"/>
    <mergeCell ref="D28:E28"/>
    <mergeCell ref="F28:G28"/>
    <mergeCell ref="H28:I28"/>
    <mergeCell ref="J28:K28"/>
    <mergeCell ref="L28:M28"/>
    <mergeCell ref="N28:O28"/>
    <mergeCell ref="P28:Q28"/>
    <mergeCell ref="R28:S28"/>
    <mergeCell ref="D27:E27"/>
    <mergeCell ref="F27:G27"/>
    <mergeCell ref="H27:I27"/>
    <mergeCell ref="J27:K27"/>
    <mergeCell ref="L27:M27"/>
    <mergeCell ref="N27:O27"/>
    <mergeCell ref="P25:Q25"/>
    <mergeCell ref="R25:S25"/>
    <mergeCell ref="D26:E26"/>
    <mergeCell ref="F26:G26"/>
    <mergeCell ref="H26:I26"/>
    <mergeCell ref="J26:K26"/>
    <mergeCell ref="L26:M26"/>
    <mergeCell ref="N26:O26"/>
    <mergeCell ref="P26:Q26"/>
    <mergeCell ref="R26:S26"/>
    <mergeCell ref="D25:E25"/>
    <mergeCell ref="F25:G25"/>
    <mergeCell ref="H25:I25"/>
    <mergeCell ref="J25:K25"/>
    <mergeCell ref="L25:M25"/>
    <mergeCell ref="N25:O25"/>
    <mergeCell ref="P23:Q23"/>
    <mergeCell ref="R23:S23"/>
    <mergeCell ref="D24:E24"/>
    <mergeCell ref="F24:G24"/>
    <mergeCell ref="H24:I24"/>
    <mergeCell ref="J24:K24"/>
    <mergeCell ref="L24:M24"/>
    <mergeCell ref="N24:O24"/>
    <mergeCell ref="P24:Q24"/>
    <mergeCell ref="R24:S24"/>
    <mergeCell ref="D23:E23"/>
    <mergeCell ref="F23:G23"/>
    <mergeCell ref="H23:I23"/>
    <mergeCell ref="J23:K23"/>
    <mergeCell ref="L23:M23"/>
    <mergeCell ref="N23:O23"/>
    <mergeCell ref="P21:Q21"/>
    <mergeCell ref="R21:S21"/>
    <mergeCell ref="D22:E22"/>
    <mergeCell ref="F22:G22"/>
    <mergeCell ref="H22:I22"/>
    <mergeCell ref="J22:K22"/>
    <mergeCell ref="L22:M22"/>
    <mergeCell ref="N22:O22"/>
    <mergeCell ref="P22:Q22"/>
    <mergeCell ref="R22:S22"/>
    <mergeCell ref="D21:E21"/>
    <mergeCell ref="F21:G21"/>
    <mergeCell ref="H21:I21"/>
    <mergeCell ref="J21:K21"/>
    <mergeCell ref="L21:M21"/>
    <mergeCell ref="N21:O21"/>
    <mergeCell ref="P19:Q19"/>
    <mergeCell ref="R19:S19"/>
    <mergeCell ref="D20:E20"/>
    <mergeCell ref="F20:G20"/>
    <mergeCell ref="H20:I20"/>
    <mergeCell ref="J20:K20"/>
    <mergeCell ref="L20:M20"/>
    <mergeCell ref="N20:O20"/>
    <mergeCell ref="P20:Q20"/>
    <mergeCell ref="R20:S20"/>
    <mergeCell ref="D19:E19"/>
    <mergeCell ref="F19:G19"/>
    <mergeCell ref="H19:I19"/>
    <mergeCell ref="J19:K19"/>
    <mergeCell ref="L19:M19"/>
    <mergeCell ref="N19:O19"/>
    <mergeCell ref="P17:Q17"/>
    <mergeCell ref="R17:S17"/>
    <mergeCell ref="D18:E18"/>
    <mergeCell ref="F18:G18"/>
    <mergeCell ref="H18:I18"/>
    <mergeCell ref="J18:K18"/>
    <mergeCell ref="L18:M18"/>
    <mergeCell ref="N18:O18"/>
    <mergeCell ref="P18:Q18"/>
    <mergeCell ref="R18:S18"/>
    <mergeCell ref="D17:E17"/>
    <mergeCell ref="F17:G17"/>
    <mergeCell ref="H17:I17"/>
    <mergeCell ref="J17:K17"/>
    <mergeCell ref="L17:M17"/>
    <mergeCell ref="N17:O17"/>
    <mergeCell ref="N14:O14"/>
    <mergeCell ref="P14:Q14"/>
    <mergeCell ref="R14:S14"/>
    <mergeCell ref="P15:Q15"/>
    <mergeCell ref="R15:S15"/>
    <mergeCell ref="D16:E16"/>
    <mergeCell ref="F16:G16"/>
    <mergeCell ref="H16:I16"/>
    <mergeCell ref="J16:K16"/>
    <mergeCell ref="L16:M16"/>
    <mergeCell ref="N16:O16"/>
    <mergeCell ref="P16:Q16"/>
    <mergeCell ref="R16:S16"/>
    <mergeCell ref="D15:E15"/>
    <mergeCell ref="F15:G15"/>
    <mergeCell ref="H15:I15"/>
    <mergeCell ref="J15:K15"/>
    <mergeCell ref="L15:M15"/>
    <mergeCell ref="N15:O15"/>
    <mergeCell ref="P11:S11"/>
    <mergeCell ref="D12:E12"/>
    <mergeCell ref="F12:G12"/>
    <mergeCell ref="H12:I12"/>
    <mergeCell ref="J12:K12"/>
    <mergeCell ref="L12:M12"/>
    <mergeCell ref="N12:O12"/>
    <mergeCell ref="P12:Q12"/>
    <mergeCell ref="R12:S12"/>
    <mergeCell ref="B6:C11"/>
    <mergeCell ref="D6:G6"/>
    <mergeCell ref="H6:K6"/>
    <mergeCell ref="L6:O6"/>
    <mergeCell ref="P6:S6"/>
    <mergeCell ref="D7:G7"/>
    <mergeCell ref="H7:K7"/>
    <mergeCell ref="D9:G9"/>
    <mergeCell ref="H9:K9"/>
    <mergeCell ref="L9:O9"/>
    <mergeCell ref="P9:S9"/>
    <mergeCell ref="D10:G10"/>
    <mergeCell ref="H10:K10"/>
    <mergeCell ref="L10:O10"/>
    <mergeCell ref="P10:S10"/>
    <mergeCell ref="L7:O7"/>
    <mergeCell ref="P7:S7"/>
    <mergeCell ref="D8:G8"/>
    <mergeCell ref="H8:K8"/>
    <mergeCell ref="L8:O8"/>
    <mergeCell ref="P8:S8"/>
    <mergeCell ref="D11:G11"/>
    <mergeCell ref="H11:K11"/>
    <mergeCell ref="L11:O11"/>
    <mergeCell ref="B1:C1"/>
    <mergeCell ref="D1:N1"/>
    <mergeCell ref="O1:S1"/>
    <mergeCell ref="B2:S2"/>
    <mergeCell ref="B3:S3"/>
    <mergeCell ref="C4:L4"/>
    <mergeCell ref="M4:N4"/>
    <mergeCell ref="O4:S4"/>
    <mergeCell ref="C5:L5"/>
    <mergeCell ref="M5:N5"/>
    <mergeCell ref="O5:S5"/>
  </mergeCells>
  <pageMargins left="0.7" right="0.7" top="0.75" bottom="0.75" header="0.3" footer="0.3"/>
  <pageSetup scale="74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00B050"/>
    <pageSetUpPr fitToPage="1"/>
  </sheetPr>
  <dimension ref="A1:T49"/>
  <sheetViews>
    <sheetView zoomScaleNormal="100" workbookViewId="0">
      <selection activeCell="D10" sqref="D10:G10"/>
    </sheetView>
  </sheetViews>
  <sheetFormatPr baseColWidth="10" defaultRowHeight="15" x14ac:dyDescent="0.25"/>
  <cols>
    <col min="1" max="1" width="2.5703125" style="2" customWidth="1"/>
    <col min="2" max="2" width="13.7109375" style="2" customWidth="1"/>
    <col min="3" max="3" width="5.28515625" style="2" bestFit="1" customWidth="1"/>
    <col min="4" max="4" width="5.7109375" style="2" customWidth="1"/>
    <col min="5" max="5" width="4.42578125" style="2" customWidth="1"/>
    <col min="6" max="19" width="5.7109375" style="2" customWidth="1"/>
    <col min="20" max="20" width="0" hidden="1" customWidth="1"/>
  </cols>
  <sheetData>
    <row r="1" spans="2:20" ht="77.25" customHeight="1" thickBot="1" x14ac:dyDescent="0.3">
      <c r="B1" s="452"/>
      <c r="C1" s="373"/>
      <c r="D1" s="453" t="s">
        <v>206</v>
      </c>
      <c r="E1" s="456"/>
      <c r="F1" s="456"/>
      <c r="G1" s="456"/>
      <c r="H1" s="456"/>
      <c r="I1" s="456"/>
      <c r="J1" s="456"/>
      <c r="K1" s="456"/>
      <c r="L1" s="456"/>
      <c r="M1" s="456"/>
      <c r="N1" s="457"/>
      <c r="O1" s="370"/>
      <c r="P1" s="371"/>
      <c r="Q1" s="371"/>
      <c r="R1" s="371"/>
      <c r="S1" s="372"/>
    </row>
    <row r="2" spans="2:20" ht="15.75" thickBot="1" x14ac:dyDescent="0.3">
      <c r="B2" s="375" t="s">
        <v>72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5"/>
    </row>
    <row r="3" spans="2:20" ht="15.75" thickBot="1" x14ac:dyDescent="0.3">
      <c r="B3" s="375" t="s">
        <v>136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5"/>
    </row>
    <row r="4" spans="2:20" x14ac:dyDescent="0.25">
      <c r="B4" s="26" t="s">
        <v>58</v>
      </c>
      <c r="C4" s="247" t="s">
        <v>96</v>
      </c>
      <c r="D4" s="247"/>
      <c r="E4" s="247"/>
      <c r="F4" s="247"/>
      <c r="G4" s="247"/>
      <c r="H4" s="247"/>
      <c r="I4" s="247"/>
      <c r="J4" s="247"/>
      <c r="K4" s="247"/>
      <c r="L4" s="449"/>
      <c r="M4" s="450" t="s">
        <v>5</v>
      </c>
      <c r="N4" s="451"/>
      <c r="O4" s="247" t="s">
        <v>263</v>
      </c>
      <c r="P4" s="247"/>
      <c r="Q4" s="247"/>
      <c r="R4" s="247"/>
      <c r="S4" s="449"/>
    </row>
    <row r="5" spans="2:20" ht="15.75" thickBot="1" x14ac:dyDescent="0.3">
      <c r="B5" s="27" t="s">
        <v>4</v>
      </c>
      <c r="C5" s="438" t="s">
        <v>235</v>
      </c>
      <c r="D5" s="439"/>
      <c r="E5" s="439"/>
      <c r="F5" s="439"/>
      <c r="G5" s="439"/>
      <c r="H5" s="439"/>
      <c r="I5" s="439"/>
      <c r="J5" s="439"/>
      <c r="K5" s="439"/>
      <c r="L5" s="440"/>
      <c r="M5" s="441" t="s">
        <v>73</v>
      </c>
      <c r="N5" s="442"/>
      <c r="O5" s="443"/>
      <c r="P5" s="443"/>
      <c r="Q5" s="443"/>
      <c r="R5" s="443"/>
      <c r="S5" s="444"/>
    </row>
    <row r="6" spans="2:20" ht="15.75" thickBot="1" x14ac:dyDescent="0.3">
      <c r="B6" s="337"/>
      <c r="C6" s="338"/>
      <c r="D6" s="436" t="s">
        <v>74</v>
      </c>
      <c r="E6" s="460"/>
      <c r="F6" s="460"/>
      <c r="G6" s="437"/>
      <c r="H6" s="436" t="s">
        <v>74</v>
      </c>
      <c r="I6" s="460"/>
      <c r="J6" s="460"/>
      <c r="K6" s="437"/>
      <c r="L6" s="436" t="s">
        <v>74</v>
      </c>
      <c r="M6" s="460"/>
      <c r="N6" s="460"/>
      <c r="O6" s="437"/>
      <c r="P6" s="436" t="s">
        <v>74</v>
      </c>
      <c r="Q6" s="460"/>
      <c r="R6" s="460"/>
      <c r="S6" s="437"/>
    </row>
    <row r="7" spans="2:20" ht="15.75" thickBot="1" x14ac:dyDescent="0.3">
      <c r="B7" s="445"/>
      <c r="C7" s="446"/>
      <c r="D7" s="418">
        <v>40361</v>
      </c>
      <c r="E7" s="419"/>
      <c r="F7" s="419"/>
      <c r="G7" s="435"/>
      <c r="H7" s="418"/>
      <c r="I7" s="419"/>
      <c r="J7" s="419"/>
      <c r="K7" s="435"/>
      <c r="L7" s="418"/>
      <c r="M7" s="419"/>
      <c r="N7" s="419"/>
      <c r="O7" s="419"/>
      <c r="P7" s="418"/>
      <c r="Q7" s="419"/>
      <c r="R7" s="419"/>
      <c r="S7" s="435"/>
    </row>
    <row r="8" spans="2:20" ht="15.75" thickBot="1" x14ac:dyDescent="0.3">
      <c r="B8" s="445"/>
      <c r="C8" s="446"/>
      <c r="D8" s="436" t="s">
        <v>75</v>
      </c>
      <c r="E8" s="460"/>
      <c r="F8" s="460"/>
      <c r="G8" s="437"/>
      <c r="H8" s="418" t="s">
        <v>76</v>
      </c>
      <c r="I8" s="419"/>
      <c r="J8" s="419"/>
      <c r="K8" s="435"/>
      <c r="L8" s="418" t="s">
        <v>76</v>
      </c>
      <c r="M8" s="419"/>
      <c r="N8" s="419"/>
      <c r="O8" s="435"/>
      <c r="P8" s="418" t="s">
        <v>76</v>
      </c>
      <c r="Q8" s="419"/>
      <c r="R8" s="419"/>
      <c r="S8" s="435"/>
    </row>
    <row r="9" spans="2:20" ht="15.75" thickBot="1" x14ac:dyDescent="0.3">
      <c r="B9" s="445"/>
      <c r="C9" s="446"/>
      <c r="D9" s="418" t="s">
        <v>281</v>
      </c>
      <c r="E9" s="419"/>
      <c r="F9" s="419"/>
      <c r="G9" s="435"/>
      <c r="H9" s="418"/>
      <c r="I9" s="419"/>
      <c r="J9" s="419"/>
      <c r="K9" s="435"/>
      <c r="L9" s="418"/>
      <c r="M9" s="419"/>
      <c r="N9" s="419"/>
      <c r="O9" s="435"/>
      <c r="P9" s="418"/>
      <c r="Q9" s="419"/>
      <c r="R9" s="419"/>
      <c r="S9" s="435"/>
    </row>
    <row r="10" spans="2:20" ht="15.75" thickBot="1" x14ac:dyDescent="0.3">
      <c r="B10" s="445"/>
      <c r="C10" s="446"/>
      <c r="D10" s="436" t="s">
        <v>69</v>
      </c>
      <c r="E10" s="460"/>
      <c r="F10" s="460"/>
      <c r="G10" s="437"/>
      <c r="H10" s="418" t="s">
        <v>69</v>
      </c>
      <c r="I10" s="419"/>
      <c r="J10" s="419"/>
      <c r="K10" s="435"/>
      <c r="L10" s="418" t="s">
        <v>69</v>
      </c>
      <c r="M10" s="419"/>
      <c r="N10" s="419"/>
      <c r="O10" s="435"/>
      <c r="P10" s="418" t="s">
        <v>69</v>
      </c>
      <c r="Q10" s="419"/>
      <c r="R10" s="419"/>
      <c r="S10" s="435"/>
    </row>
    <row r="11" spans="2:20" ht="15.75" thickBot="1" x14ac:dyDescent="0.3">
      <c r="B11" s="447"/>
      <c r="C11" s="448"/>
      <c r="D11" s="418" t="s">
        <v>280</v>
      </c>
      <c r="E11" s="419"/>
      <c r="F11" s="419"/>
      <c r="G11" s="435"/>
      <c r="H11" s="418"/>
      <c r="I11" s="419"/>
      <c r="J11" s="419"/>
      <c r="K11" s="435"/>
      <c r="L11" s="418"/>
      <c r="M11" s="419"/>
      <c r="N11" s="419"/>
      <c r="O11" s="435"/>
      <c r="P11" s="418"/>
      <c r="Q11" s="419"/>
      <c r="R11" s="419"/>
      <c r="S11" s="435"/>
    </row>
    <row r="12" spans="2:20" ht="15.75" thickBot="1" x14ac:dyDescent="0.3">
      <c r="B12" s="28" t="s">
        <v>77</v>
      </c>
      <c r="C12" s="29" t="s">
        <v>78</v>
      </c>
      <c r="D12" s="375" t="s">
        <v>14</v>
      </c>
      <c r="E12" s="245"/>
      <c r="F12" s="461" t="s">
        <v>15</v>
      </c>
      <c r="G12" s="462"/>
      <c r="H12" s="461" t="s">
        <v>14</v>
      </c>
      <c r="I12" s="462"/>
      <c r="J12" s="461" t="s">
        <v>15</v>
      </c>
      <c r="K12" s="462"/>
      <c r="L12" s="461" t="s">
        <v>14</v>
      </c>
      <c r="M12" s="462"/>
      <c r="N12" s="461" t="s">
        <v>15</v>
      </c>
      <c r="O12" s="462"/>
      <c r="P12" s="461" t="s">
        <v>14</v>
      </c>
      <c r="Q12" s="462"/>
      <c r="R12" s="461" t="s">
        <v>15</v>
      </c>
      <c r="S12" s="462"/>
    </row>
    <row r="13" spans="2:20" ht="19.5" thickBot="1" x14ac:dyDescent="0.3">
      <c r="B13" s="433" t="s">
        <v>204</v>
      </c>
      <c r="C13" s="37">
        <v>1</v>
      </c>
      <c r="D13" s="375"/>
      <c r="E13" s="245"/>
      <c r="F13" s="375"/>
      <c r="G13" s="245"/>
      <c r="H13" s="375"/>
      <c r="I13" s="245"/>
      <c r="J13" s="375"/>
      <c r="K13" s="245"/>
      <c r="L13" s="375"/>
      <c r="M13" s="245"/>
      <c r="N13" s="375"/>
      <c r="O13" s="245"/>
      <c r="P13" s="375"/>
      <c r="Q13" s="245"/>
      <c r="R13" s="375"/>
      <c r="S13" s="245"/>
      <c r="T13" t="s">
        <v>223</v>
      </c>
    </row>
    <row r="14" spans="2:20" ht="19.5" thickBot="1" x14ac:dyDescent="0.3">
      <c r="B14" s="434"/>
      <c r="C14" s="45">
        <v>2</v>
      </c>
      <c r="D14" s="375"/>
      <c r="E14" s="245"/>
      <c r="F14" s="375"/>
      <c r="G14" s="245"/>
      <c r="H14" s="375"/>
      <c r="I14" s="245"/>
      <c r="J14" s="375"/>
      <c r="K14" s="245"/>
      <c r="L14" s="375"/>
      <c r="M14" s="245"/>
      <c r="N14" s="375"/>
      <c r="O14" s="245"/>
      <c r="P14" s="375"/>
      <c r="Q14" s="245"/>
      <c r="R14" s="375"/>
      <c r="S14" s="245"/>
    </row>
    <row r="15" spans="2:20" ht="19.5" thickBot="1" x14ac:dyDescent="0.3">
      <c r="B15" s="434"/>
      <c r="C15" s="45">
        <v>3</v>
      </c>
      <c r="D15" s="375"/>
      <c r="E15" s="245"/>
      <c r="F15" s="375"/>
      <c r="G15" s="245"/>
      <c r="H15" s="375"/>
      <c r="I15" s="245"/>
      <c r="J15" s="375"/>
      <c r="K15" s="245"/>
      <c r="L15" s="375"/>
      <c r="M15" s="245"/>
      <c r="N15" s="375"/>
      <c r="O15" s="245"/>
      <c r="P15" s="375"/>
      <c r="Q15" s="245"/>
      <c r="R15" s="375"/>
      <c r="S15" s="245"/>
    </row>
    <row r="16" spans="2:20" ht="19.5" thickBot="1" x14ac:dyDescent="0.3">
      <c r="B16" s="434"/>
      <c r="C16" s="45">
        <v>4</v>
      </c>
      <c r="D16" s="375"/>
      <c r="E16" s="245"/>
      <c r="F16" s="375"/>
      <c r="G16" s="245"/>
      <c r="H16" s="375"/>
      <c r="I16" s="245"/>
      <c r="J16" s="375"/>
      <c r="K16" s="245"/>
      <c r="L16" s="375"/>
      <c r="M16" s="245"/>
      <c r="N16" s="375"/>
      <c r="O16" s="245"/>
      <c r="P16" s="375"/>
      <c r="Q16" s="245"/>
      <c r="R16" s="375"/>
      <c r="S16" s="245"/>
    </row>
    <row r="17" spans="1:19" ht="19.5" thickBot="1" x14ac:dyDescent="0.3">
      <c r="B17" s="434"/>
      <c r="C17" s="45">
        <v>5</v>
      </c>
      <c r="D17" s="375"/>
      <c r="E17" s="245"/>
      <c r="F17" s="375"/>
      <c r="G17" s="245"/>
      <c r="H17" s="375"/>
      <c r="I17" s="245"/>
      <c r="J17" s="375"/>
      <c r="K17" s="245"/>
      <c r="L17" s="375"/>
      <c r="M17" s="245"/>
      <c r="N17" s="375"/>
      <c r="O17" s="245"/>
      <c r="P17" s="375"/>
      <c r="Q17" s="245"/>
      <c r="R17" s="375"/>
      <c r="S17" s="245"/>
    </row>
    <row r="18" spans="1:19" ht="19.5" thickBot="1" x14ac:dyDescent="0.3">
      <c r="B18" s="434"/>
      <c r="C18" s="45">
        <v>6</v>
      </c>
      <c r="D18" s="375"/>
      <c r="E18" s="245"/>
      <c r="F18" s="375"/>
      <c r="G18" s="245"/>
      <c r="H18" s="375"/>
      <c r="I18" s="245"/>
      <c r="J18" s="375"/>
      <c r="K18" s="245"/>
      <c r="L18" s="375"/>
      <c r="M18" s="245"/>
      <c r="N18" s="375"/>
      <c r="O18" s="245"/>
      <c r="P18" s="375"/>
      <c r="Q18" s="245"/>
      <c r="R18" s="375"/>
      <c r="S18" s="245"/>
    </row>
    <row r="19" spans="1:19" ht="19.5" thickBot="1" x14ac:dyDescent="0.3">
      <c r="B19" s="434"/>
      <c r="C19" s="45">
        <v>7</v>
      </c>
      <c r="D19" s="375"/>
      <c r="E19" s="245"/>
      <c r="F19" s="375"/>
      <c r="G19" s="245"/>
      <c r="H19" s="375"/>
      <c r="I19" s="245"/>
      <c r="J19" s="375"/>
      <c r="K19" s="245"/>
      <c r="L19" s="375"/>
      <c r="M19" s="245"/>
      <c r="N19" s="375"/>
      <c r="O19" s="245"/>
      <c r="P19" s="375"/>
      <c r="Q19" s="245"/>
      <c r="R19" s="375"/>
      <c r="S19" s="245"/>
    </row>
    <row r="20" spans="1:19" ht="19.5" thickBot="1" x14ac:dyDescent="0.3">
      <c r="B20" s="434"/>
      <c r="C20" s="45">
        <v>8</v>
      </c>
      <c r="D20" s="375"/>
      <c r="E20" s="245"/>
      <c r="F20" s="375"/>
      <c r="G20" s="245"/>
      <c r="H20" s="375"/>
      <c r="I20" s="245"/>
      <c r="J20" s="375"/>
      <c r="K20" s="245"/>
      <c r="L20" s="375"/>
      <c r="M20" s="245"/>
      <c r="N20" s="375"/>
      <c r="O20" s="245"/>
      <c r="P20" s="375"/>
      <c r="Q20" s="245"/>
      <c r="R20" s="375"/>
      <c r="S20" s="245"/>
    </row>
    <row r="21" spans="1:19" ht="19.5" thickBot="1" x14ac:dyDescent="0.3">
      <c r="B21" s="434"/>
      <c r="C21" s="45">
        <v>9</v>
      </c>
      <c r="D21" s="375"/>
      <c r="E21" s="245"/>
      <c r="F21" s="375"/>
      <c r="G21" s="245"/>
      <c r="H21" s="375"/>
      <c r="I21" s="245"/>
      <c r="J21" s="375"/>
      <c r="K21" s="245"/>
      <c r="L21" s="375"/>
      <c r="M21" s="245"/>
      <c r="N21" s="375"/>
      <c r="O21" s="245"/>
      <c r="P21" s="375"/>
      <c r="Q21" s="245"/>
      <c r="R21" s="375"/>
      <c r="S21" s="245"/>
    </row>
    <row r="22" spans="1:19" ht="19.5" thickBot="1" x14ac:dyDescent="0.3">
      <c r="B22" s="434"/>
      <c r="C22" s="45">
        <v>10</v>
      </c>
      <c r="D22" s="375"/>
      <c r="E22" s="245"/>
      <c r="F22" s="375"/>
      <c r="G22" s="245"/>
      <c r="H22" s="375"/>
      <c r="I22" s="245"/>
      <c r="J22" s="375"/>
      <c r="K22" s="245"/>
      <c r="L22" s="375"/>
      <c r="M22" s="245"/>
      <c r="N22" s="375"/>
      <c r="O22" s="245"/>
      <c r="P22" s="375"/>
      <c r="Q22" s="245"/>
      <c r="R22" s="375"/>
      <c r="S22" s="245"/>
    </row>
    <row r="23" spans="1:19" ht="19.5" thickBot="1" x14ac:dyDescent="0.3">
      <c r="B23" s="434"/>
      <c r="C23" s="45">
        <v>11</v>
      </c>
      <c r="D23" s="375"/>
      <c r="E23" s="245"/>
      <c r="F23" s="375"/>
      <c r="G23" s="245"/>
      <c r="H23" s="375"/>
      <c r="I23" s="245"/>
      <c r="J23" s="375"/>
      <c r="K23" s="245"/>
      <c r="L23" s="375"/>
      <c r="M23" s="245"/>
      <c r="N23" s="375"/>
      <c r="O23" s="245"/>
      <c r="P23" s="375"/>
      <c r="Q23" s="245"/>
      <c r="R23" s="375"/>
      <c r="S23" s="245"/>
    </row>
    <row r="24" spans="1:19" ht="19.5" thickBot="1" x14ac:dyDescent="0.3">
      <c r="B24" s="434"/>
      <c r="C24" s="45">
        <v>12</v>
      </c>
      <c r="D24" s="375"/>
      <c r="E24" s="245"/>
      <c r="F24" s="375"/>
      <c r="G24" s="245"/>
      <c r="H24" s="375"/>
      <c r="I24" s="245"/>
      <c r="J24" s="375"/>
      <c r="K24" s="245"/>
      <c r="L24" s="375"/>
      <c r="M24" s="245"/>
      <c r="N24" s="375"/>
      <c r="O24" s="245"/>
      <c r="P24" s="375"/>
      <c r="Q24" s="245"/>
      <c r="R24" s="375"/>
      <c r="S24" s="245"/>
    </row>
    <row r="25" spans="1:19" ht="19.5" thickBot="1" x14ac:dyDescent="0.3">
      <c r="B25" s="434"/>
      <c r="C25" s="45">
        <v>13</v>
      </c>
      <c r="D25" s="375"/>
      <c r="E25" s="245"/>
      <c r="F25" s="375"/>
      <c r="G25" s="245"/>
      <c r="H25" s="375"/>
      <c r="I25" s="245"/>
      <c r="J25" s="375"/>
      <c r="K25" s="245"/>
      <c r="L25" s="375"/>
      <c r="M25" s="245"/>
      <c r="N25" s="375"/>
      <c r="O25" s="245"/>
      <c r="P25" s="375"/>
      <c r="Q25" s="245"/>
      <c r="R25" s="375"/>
      <c r="S25" s="245"/>
    </row>
    <row r="26" spans="1:19" ht="19.5" thickBot="1" x14ac:dyDescent="0.3">
      <c r="B26" s="434"/>
      <c r="C26" s="45">
        <v>14</v>
      </c>
      <c r="D26" s="375"/>
      <c r="E26" s="245"/>
      <c r="F26" s="375"/>
      <c r="G26" s="245"/>
      <c r="H26" s="375"/>
      <c r="I26" s="245"/>
      <c r="J26" s="375"/>
      <c r="K26" s="245"/>
      <c r="L26" s="375"/>
      <c r="M26" s="245"/>
      <c r="N26" s="375"/>
      <c r="O26" s="245"/>
      <c r="P26" s="375"/>
      <c r="Q26" s="245"/>
      <c r="R26" s="375"/>
      <c r="S26" s="245"/>
    </row>
    <row r="27" spans="1:19" ht="19.5" thickBot="1" x14ac:dyDescent="0.3">
      <c r="B27" s="434"/>
      <c r="C27" s="45">
        <v>15</v>
      </c>
      <c r="D27" s="375"/>
      <c r="E27" s="245"/>
      <c r="F27" s="375"/>
      <c r="G27" s="245"/>
      <c r="H27" s="375"/>
      <c r="I27" s="245"/>
      <c r="J27" s="375"/>
      <c r="K27" s="245"/>
      <c r="L27" s="375"/>
      <c r="M27" s="245"/>
      <c r="N27" s="375"/>
      <c r="O27" s="245"/>
      <c r="P27" s="375"/>
      <c r="Q27" s="245"/>
      <c r="R27" s="375"/>
      <c r="S27" s="245"/>
    </row>
    <row r="28" spans="1:19" ht="19.5" thickBot="1" x14ac:dyDescent="0.3">
      <c r="B28" s="434"/>
      <c r="C28" s="45">
        <v>16</v>
      </c>
      <c r="D28" s="375"/>
      <c r="E28" s="245"/>
      <c r="F28" s="375"/>
      <c r="G28" s="245"/>
      <c r="H28" s="375"/>
      <c r="I28" s="245"/>
      <c r="J28" s="375"/>
      <c r="K28" s="245"/>
      <c r="L28" s="375"/>
      <c r="M28" s="245"/>
      <c r="N28" s="375"/>
      <c r="O28" s="245"/>
      <c r="P28" s="375"/>
      <c r="Q28" s="245"/>
      <c r="R28" s="375"/>
      <c r="S28" s="245"/>
    </row>
    <row r="29" spans="1:19" ht="19.5" thickBot="1" x14ac:dyDescent="0.3">
      <c r="B29" s="434"/>
      <c r="C29" s="45">
        <v>17</v>
      </c>
      <c r="D29" s="375"/>
      <c r="E29" s="245"/>
      <c r="F29" s="375"/>
      <c r="G29" s="245"/>
      <c r="H29" s="375"/>
      <c r="I29" s="245"/>
      <c r="J29" s="375"/>
      <c r="K29" s="245"/>
      <c r="L29" s="375"/>
      <c r="M29" s="245"/>
      <c r="N29" s="375"/>
      <c r="O29" s="245"/>
      <c r="P29" s="375"/>
      <c r="Q29" s="245"/>
      <c r="R29" s="375"/>
      <c r="S29" s="245"/>
    </row>
    <row r="30" spans="1:19" ht="19.5" thickBot="1" x14ac:dyDescent="0.3">
      <c r="A30" s="25"/>
      <c r="B30" s="434"/>
      <c r="C30" s="45">
        <v>18</v>
      </c>
      <c r="D30" s="375"/>
      <c r="E30" s="245"/>
      <c r="F30" s="375"/>
      <c r="G30" s="245"/>
      <c r="H30" s="375"/>
      <c r="I30" s="245"/>
      <c r="J30" s="375"/>
      <c r="K30" s="245"/>
      <c r="L30" s="375"/>
      <c r="M30" s="245"/>
      <c r="N30" s="375"/>
      <c r="O30" s="245"/>
      <c r="P30" s="375"/>
      <c r="Q30" s="245"/>
      <c r="R30" s="375"/>
      <c r="S30" s="245"/>
    </row>
    <row r="31" spans="1:19" ht="19.5" thickBot="1" x14ac:dyDescent="0.3">
      <c r="A31" s="25"/>
      <c r="B31" s="434"/>
      <c r="C31" s="45">
        <v>19</v>
      </c>
      <c r="D31" s="375"/>
      <c r="E31" s="245"/>
      <c r="F31" s="375"/>
      <c r="G31" s="245"/>
      <c r="H31" s="375"/>
      <c r="I31" s="245"/>
      <c r="J31" s="375"/>
      <c r="K31" s="245"/>
      <c r="L31" s="375"/>
      <c r="M31" s="245"/>
      <c r="N31" s="375"/>
      <c r="O31" s="245"/>
      <c r="P31" s="375"/>
      <c r="Q31" s="245"/>
      <c r="R31" s="375"/>
      <c r="S31" s="245"/>
    </row>
    <row r="32" spans="1:19" ht="19.5" thickBot="1" x14ac:dyDescent="0.3">
      <c r="A32" s="25"/>
      <c r="B32" s="434"/>
      <c r="C32" s="45">
        <v>20</v>
      </c>
      <c r="D32" s="375"/>
      <c r="E32" s="245"/>
      <c r="F32" s="375"/>
      <c r="G32" s="245"/>
      <c r="H32" s="375"/>
      <c r="I32" s="245"/>
      <c r="J32" s="375"/>
      <c r="K32" s="245"/>
      <c r="L32" s="375"/>
      <c r="M32" s="245"/>
      <c r="N32" s="375"/>
      <c r="O32" s="245"/>
      <c r="P32" s="375"/>
      <c r="Q32" s="245"/>
      <c r="R32" s="375"/>
      <c r="S32" s="245"/>
    </row>
    <row r="33" spans="1:19" ht="19.5" thickBot="1" x14ac:dyDescent="0.3">
      <c r="A33" s="25"/>
      <c r="B33" s="434"/>
      <c r="C33" s="45">
        <v>21</v>
      </c>
      <c r="D33" s="375"/>
      <c r="E33" s="245"/>
      <c r="F33" s="375"/>
      <c r="G33" s="245"/>
      <c r="H33" s="375"/>
      <c r="I33" s="245"/>
      <c r="J33" s="375"/>
      <c r="K33" s="245"/>
      <c r="L33" s="375"/>
      <c r="M33" s="245"/>
      <c r="N33" s="375"/>
      <c r="O33" s="245"/>
      <c r="P33" s="375"/>
      <c r="Q33" s="245"/>
      <c r="R33" s="375"/>
      <c r="S33" s="245"/>
    </row>
    <row r="34" spans="1:19" ht="19.5" thickBot="1" x14ac:dyDescent="0.3">
      <c r="A34" s="25"/>
      <c r="B34" s="434"/>
      <c r="C34" s="45">
        <v>22</v>
      </c>
      <c r="D34" s="375"/>
      <c r="E34" s="245"/>
      <c r="F34" s="375"/>
      <c r="G34" s="245"/>
      <c r="H34" s="375"/>
      <c r="I34" s="245"/>
      <c r="J34" s="375"/>
      <c r="K34" s="245"/>
      <c r="L34" s="375"/>
      <c r="M34" s="245"/>
      <c r="N34" s="375"/>
      <c r="O34" s="245"/>
      <c r="P34" s="375"/>
      <c r="Q34" s="245"/>
      <c r="R34" s="375"/>
      <c r="S34" s="245"/>
    </row>
    <row r="35" spans="1:19" ht="19.5" thickBot="1" x14ac:dyDescent="0.3">
      <c r="A35" s="25"/>
      <c r="B35" s="434"/>
      <c r="C35" s="45">
        <v>23</v>
      </c>
      <c r="D35" s="375"/>
      <c r="E35" s="245"/>
      <c r="F35" s="375"/>
      <c r="G35" s="245"/>
      <c r="H35" s="375"/>
      <c r="I35" s="245"/>
      <c r="J35" s="375"/>
      <c r="K35" s="245"/>
      <c r="L35" s="375"/>
      <c r="M35" s="245"/>
      <c r="N35" s="375"/>
      <c r="O35" s="245"/>
      <c r="P35" s="375"/>
      <c r="Q35" s="245"/>
      <c r="R35" s="375"/>
      <c r="S35" s="245"/>
    </row>
    <row r="36" spans="1:19" ht="19.5" thickBot="1" x14ac:dyDescent="0.3">
      <c r="A36" s="25"/>
      <c r="B36" s="434"/>
      <c r="C36" s="45">
        <v>24</v>
      </c>
      <c r="D36" s="375"/>
      <c r="E36" s="245"/>
      <c r="F36" s="375"/>
      <c r="G36" s="245"/>
      <c r="H36" s="375"/>
      <c r="I36" s="245"/>
      <c r="J36" s="375"/>
      <c r="K36" s="245"/>
      <c r="L36" s="375"/>
      <c r="M36" s="245"/>
      <c r="N36" s="375"/>
      <c r="O36" s="245"/>
      <c r="P36" s="375"/>
      <c r="Q36" s="245"/>
      <c r="R36" s="375"/>
      <c r="S36" s="245"/>
    </row>
    <row r="37" spans="1:19" ht="19.5" thickBot="1" x14ac:dyDescent="0.3">
      <c r="B37" s="434"/>
      <c r="C37" s="45">
        <v>25</v>
      </c>
      <c r="D37" s="375"/>
      <c r="E37" s="245"/>
      <c r="F37" s="375"/>
      <c r="G37" s="245"/>
      <c r="H37" s="375"/>
      <c r="I37" s="245"/>
      <c r="J37" s="375"/>
      <c r="K37" s="245"/>
      <c r="L37" s="375"/>
      <c r="M37" s="245"/>
      <c r="N37" s="375"/>
      <c r="O37" s="245"/>
      <c r="P37" s="375"/>
      <c r="Q37" s="245"/>
      <c r="R37" s="375"/>
      <c r="S37" s="245"/>
    </row>
    <row r="38" spans="1:19" ht="19.5" thickBot="1" x14ac:dyDescent="0.3">
      <c r="B38" s="434"/>
      <c r="C38" s="45">
        <v>26</v>
      </c>
      <c r="D38" s="375"/>
      <c r="E38" s="245"/>
      <c r="F38" s="375"/>
      <c r="G38" s="245"/>
      <c r="H38" s="375"/>
      <c r="I38" s="245"/>
      <c r="J38" s="375"/>
      <c r="K38" s="245"/>
      <c r="L38" s="375"/>
      <c r="M38" s="245"/>
      <c r="N38" s="375"/>
      <c r="O38" s="245"/>
      <c r="P38" s="375"/>
      <c r="Q38" s="245"/>
      <c r="R38" s="375"/>
      <c r="S38" s="245"/>
    </row>
    <row r="39" spans="1:19" ht="19.5" thickBot="1" x14ac:dyDescent="0.3">
      <c r="B39" s="434"/>
      <c r="C39" s="45">
        <v>27</v>
      </c>
      <c r="D39" s="375"/>
      <c r="E39" s="245"/>
      <c r="F39" s="375"/>
      <c r="G39" s="245"/>
      <c r="H39" s="375"/>
      <c r="I39" s="245"/>
      <c r="J39" s="375"/>
      <c r="K39" s="245"/>
      <c r="L39" s="375"/>
      <c r="M39" s="245"/>
      <c r="N39" s="375"/>
      <c r="O39" s="245"/>
      <c r="P39" s="375"/>
      <c r="Q39" s="245"/>
      <c r="R39" s="375"/>
      <c r="S39" s="245"/>
    </row>
    <row r="40" spans="1:19" ht="19.5" thickBot="1" x14ac:dyDescent="0.3">
      <c r="B40" s="434"/>
      <c r="C40" s="45">
        <v>28</v>
      </c>
      <c r="D40" s="375"/>
      <c r="E40" s="245"/>
      <c r="F40" s="375"/>
      <c r="G40" s="245"/>
      <c r="H40" s="375"/>
      <c r="I40" s="245"/>
      <c r="J40" s="375"/>
      <c r="K40" s="245"/>
      <c r="L40" s="375"/>
      <c r="M40" s="245"/>
      <c r="N40" s="375"/>
      <c r="O40" s="245"/>
      <c r="P40" s="375"/>
      <c r="Q40" s="245"/>
      <c r="R40" s="375"/>
      <c r="S40" s="245"/>
    </row>
    <row r="41" spans="1:19" ht="19.5" thickBot="1" x14ac:dyDescent="0.3">
      <c r="B41" s="434"/>
      <c r="C41" s="45">
        <v>29</v>
      </c>
      <c r="D41" s="375"/>
      <c r="E41" s="245"/>
      <c r="F41" s="375"/>
      <c r="G41" s="245"/>
      <c r="H41" s="375"/>
      <c r="I41" s="245"/>
      <c r="J41" s="375"/>
      <c r="K41" s="245"/>
      <c r="L41" s="375"/>
      <c r="M41" s="245"/>
      <c r="N41" s="375"/>
      <c r="O41" s="245"/>
      <c r="P41" s="375"/>
      <c r="Q41" s="245"/>
      <c r="R41" s="375"/>
      <c r="S41" s="245"/>
    </row>
    <row r="42" spans="1:19" ht="19.5" thickBot="1" x14ac:dyDescent="0.3">
      <c r="B42" s="434"/>
      <c r="C42" s="45">
        <v>30</v>
      </c>
      <c r="D42" s="375"/>
      <c r="E42" s="245"/>
      <c r="F42" s="375"/>
      <c r="G42" s="245"/>
      <c r="H42" s="375"/>
      <c r="I42" s="245"/>
      <c r="J42" s="375"/>
      <c r="K42" s="245"/>
      <c r="L42" s="375"/>
      <c r="M42" s="245"/>
      <c r="N42" s="375"/>
      <c r="O42" s="245"/>
      <c r="P42" s="375"/>
      <c r="Q42" s="245"/>
      <c r="R42" s="375"/>
      <c r="S42" s="245"/>
    </row>
    <row r="43" spans="1:19" ht="19.5" thickBot="1" x14ac:dyDescent="0.3">
      <c r="B43" s="434"/>
      <c r="C43" s="50">
        <v>31</v>
      </c>
      <c r="D43" s="375"/>
      <c r="E43" s="245"/>
      <c r="F43" s="375"/>
      <c r="G43" s="245"/>
      <c r="H43" s="375"/>
      <c r="I43" s="245"/>
      <c r="J43" s="375"/>
      <c r="K43" s="245"/>
      <c r="L43" s="375"/>
      <c r="M43" s="245"/>
      <c r="N43" s="375"/>
      <c r="O43" s="245"/>
      <c r="P43" s="375"/>
      <c r="Q43" s="245"/>
      <c r="R43" s="375"/>
      <c r="S43" s="245"/>
    </row>
    <row r="44" spans="1:19" ht="15" customHeight="1" x14ac:dyDescent="0.25">
      <c r="B44" s="191" t="s">
        <v>205</v>
      </c>
      <c r="C44" s="192"/>
      <c r="D44" s="192"/>
      <c r="E44" s="192"/>
      <c r="F44" s="192"/>
      <c r="G44" s="192"/>
      <c r="H44" s="192"/>
      <c r="I44" s="192"/>
      <c r="J44" s="193"/>
      <c r="K44" s="191" t="s">
        <v>199</v>
      </c>
      <c r="L44" s="192"/>
      <c r="M44" s="192"/>
      <c r="N44" s="192"/>
      <c r="O44" s="192"/>
      <c r="P44" s="192"/>
      <c r="Q44" s="192"/>
      <c r="R44" s="192"/>
      <c r="S44" s="193"/>
    </row>
    <row r="45" spans="1:19" ht="15" customHeight="1" x14ac:dyDescent="0.25">
      <c r="B45" s="194"/>
      <c r="C45" s="195"/>
      <c r="D45" s="195"/>
      <c r="E45" s="195"/>
      <c r="F45" s="195"/>
      <c r="G45" s="195"/>
      <c r="H45" s="195"/>
      <c r="I45" s="195"/>
      <c r="J45" s="196"/>
      <c r="K45" s="194"/>
      <c r="L45" s="195"/>
      <c r="M45" s="195"/>
      <c r="N45" s="195"/>
      <c r="O45" s="195"/>
      <c r="P45" s="195"/>
      <c r="Q45" s="195"/>
      <c r="R45" s="195"/>
      <c r="S45" s="196"/>
    </row>
    <row r="46" spans="1:19" ht="15" customHeight="1" x14ac:dyDescent="0.25">
      <c r="B46" s="194"/>
      <c r="C46" s="195"/>
      <c r="D46" s="195"/>
      <c r="E46" s="195"/>
      <c r="F46" s="195"/>
      <c r="G46" s="195"/>
      <c r="H46" s="195"/>
      <c r="I46" s="195"/>
      <c r="J46" s="196"/>
      <c r="K46" s="194"/>
      <c r="L46" s="195"/>
      <c r="M46" s="195"/>
      <c r="N46" s="195"/>
      <c r="O46" s="195"/>
      <c r="P46" s="195"/>
      <c r="Q46" s="195"/>
      <c r="R46" s="195"/>
      <c r="S46" s="196"/>
    </row>
    <row r="47" spans="1:19" x14ac:dyDescent="0.25">
      <c r="B47" s="194"/>
      <c r="C47" s="195"/>
      <c r="D47" s="195"/>
      <c r="E47" s="195"/>
      <c r="F47" s="195"/>
      <c r="G47" s="195"/>
      <c r="H47" s="195"/>
      <c r="I47" s="195"/>
      <c r="J47" s="196"/>
      <c r="K47" s="194"/>
      <c r="L47" s="195"/>
      <c r="M47" s="195"/>
      <c r="N47" s="195"/>
      <c r="O47" s="195"/>
      <c r="P47" s="195"/>
      <c r="Q47" s="195"/>
      <c r="R47" s="195"/>
      <c r="S47" s="196"/>
    </row>
    <row r="48" spans="1:19" x14ac:dyDescent="0.25">
      <c r="B48" s="194"/>
      <c r="C48" s="195"/>
      <c r="D48" s="195"/>
      <c r="E48" s="195"/>
      <c r="F48" s="195"/>
      <c r="G48" s="195"/>
      <c r="H48" s="195"/>
      <c r="I48" s="195"/>
      <c r="J48" s="196"/>
      <c r="K48" s="194"/>
      <c r="L48" s="195"/>
      <c r="M48" s="195"/>
      <c r="N48" s="195"/>
      <c r="O48" s="195"/>
      <c r="P48" s="195"/>
      <c r="Q48" s="195"/>
      <c r="R48" s="195"/>
      <c r="S48" s="196"/>
    </row>
    <row r="49" spans="2:19" ht="15.75" thickBot="1" x14ac:dyDescent="0.3">
      <c r="B49" s="197"/>
      <c r="C49" s="198"/>
      <c r="D49" s="198"/>
      <c r="E49" s="198"/>
      <c r="F49" s="198"/>
      <c r="G49" s="198"/>
      <c r="H49" s="198"/>
      <c r="I49" s="198"/>
      <c r="J49" s="199"/>
      <c r="K49" s="197"/>
      <c r="L49" s="198"/>
      <c r="M49" s="198"/>
      <c r="N49" s="198"/>
      <c r="O49" s="198"/>
      <c r="P49" s="198"/>
      <c r="Q49" s="198"/>
      <c r="R49" s="198"/>
      <c r="S49" s="199"/>
    </row>
  </sheetData>
  <mergeCells count="295">
    <mergeCell ref="P43:Q43"/>
    <mergeCell ref="R43:S43"/>
    <mergeCell ref="B44:J49"/>
    <mergeCell ref="K44:S49"/>
    <mergeCell ref="D43:E43"/>
    <mergeCell ref="F43:G43"/>
    <mergeCell ref="H43:I43"/>
    <mergeCell ref="J43:K43"/>
    <mergeCell ref="L43:M43"/>
    <mergeCell ref="N43:O43"/>
    <mergeCell ref="B13:B43"/>
    <mergeCell ref="D13:E13"/>
    <mergeCell ref="F13:G13"/>
    <mergeCell ref="H13:I13"/>
    <mergeCell ref="J13:K13"/>
    <mergeCell ref="L13:M13"/>
    <mergeCell ref="N13:O13"/>
    <mergeCell ref="P13:Q13"/>
    <mergeCell ref="R13:S13"/>
    <mergeCell ref="D14:E14"/>
    <mergeCell ref="F14:G14"/>
    <mergeCell ref="H14:I14"/>
    <mergeCell ref="J14:K14"/>
    <mergeCell ref="L14:M14"/>
    <mergeCell ref="P41:Q41"/>
    <mergeCell ref="R41:S41"/>
    <mergeCell ref="D42:E42"/>
    <mergeCell ref="F42:G42"/>
    <mergeCell ref="H42:I42"/>
    <mergeCell ref="J42:K42"/>
    <mergeCell ref="L42:M42"/>
    <mergeCell ref="N42:O42"/>
    <mergeCell ref="P42:Q42"/>
    <mergeCell ref="R42:S42"/>
    <mergeCell ref="D41:E41"/>
    <mergeCell ref="F41:G41"/>
    <mergeCell ref="H41:I41"/>
    <mergeCell ref="J41:K41"/>
    <mergeCell ref="L41:M41"/>
    <mergeCell ref="N41:O41"/>
    <mergeCell ref="P39:Q39"/>
    <mergeCell ref="R39:S39"/>
    <mergeCell ref="D40:E40"/>
    <mergeCell ref="F40:G40"/>
    <mergeCell ref="H40:I40"/>
    <mergeCell ref="J40:K40"/>
    <mergeCell ref="L40:M40"/>
    <mergeCell ref="N40:O40"/>
    <mergeCell ref="P40:Q40"/>
    <mergeCell ref="R40:S40"/>
    <mergeCell ref="D39:E39"/>
    <mergeCell ref="F39:G39"/>
    <mergeCell ref="H39:I39"/>
    <mergeCell ref="J39:K39"/>
    <mergeCell ref="L39:M39"/>
    <mergeCell ref="N39:O39"/>
    <mergeCell ref="P37:Q37"/>
    <mergeCell ref="R37:S37"/>
    <mergeCell ref="D38:E38"/>
    <mergeCell ref="F38:G38"/>
    <mergeCell ref="H38:I38"/>
    <mergeCell ref="J38:K38"/>
    <mergeCell ref="L38:M38"/>
    <mergeCell ref="N38:O38"/>
    <mergeCell ref="P38:Q38"/>
    <mergeCell ref="R38:S38"/>
    <mergeCell ref="D37:E37"/>
    <mergeCell ref="F37:G37"/>
    <mergeCell ref="H37:I37"/>
    <mergeCell ref="J37:K37"/>
    <mergeCell ref="L37:M37"/>
    <mergeCell ref="N37:O37"/>
    <mergeCell ref="P35:Q35"/>
    <mergeCell ref="R35:S35"/>
    <mergeCell ref="D36:E36"/>
    <mergeCell ref="F36:G36"/>
    <mergeCell ref="H36:I36"/>
    <mergeCell ref="J36:K36"/>
    <mergeCell ref="L36:M36"/>
    <mergeCell ref="N36:O36"/>
    <mergeCell ref="P36:Q36"/>
    <mergeCell ref="R36:S36"/>
    <mergeCell ref="D35:E35"/>
    <mergeCell ref="F35:G35"/>
    <mergeCell ref="H35:I35"/>
    <mergeCell ref="J35:K35"/>
    <mergeCell ref="L35:M35"/>
    <mergeCell ref="N35:O35"/>
    <mergeCell ref="P33:Q33"/>
    <mergeCell ref="R33:S33"/>
    <mergeCell ref="D34:E34"/>
    <mergeCell ref="F34:G34"/>
    <mergeCell ref="H34:I34"/>
    <mergeCell ref="J34:K34"/>
    <mergeCell ref="L34:M34"/>
    <mergeCell ref="N34:O34"/>
    <mergeCell ref="P34:Q34"/>
    <mergeCell ref="R34:S34"/>
    <mergeCell ref="D33:E33"/>
    <mergeCell ref="F33:G33"/>
    <mergeCell ref="H33:I33"/>
    <mergeCell ref="J33:K33"/>
    <mergeCell ref="L33:M33"/>
    <mergeCell ref="N33:O33"/>
    <mergeCell ref="P31:Q31"/>
    <mergeCell ref="R31:S31"/>
    <mergeCell ref="D32:E32"/>
    <mergeCell ref="F32:G32"/>
    <mergeCell ref="H32:I32"/>
    <mergeCell ref="J32:K32"/>
    <mergeCell ref="L32:M32"/>
    <mergeCell ref="N32:O32"/>
    <mergeCell ref="P32:Q32"/>
    <mergeCell ref="R32:S32"/>
    <mergeCell ref="D31:E31"/>
    <mergeCell ref="F31:G31"/>
    <mergeCell ref="H31:I31"/>
    <mergeCell ref="J31:K31"/>
    <mergeCell ref="L31:M31"/>
    <mergeCell ref="N31:O31"/>
    <mergeCell ref="P29:Q29"/>
    <mergeCell ref="R29:S29"/>
    <mergeCell ref="D30:E30"/>
    <mergeCell ref="F30:G30"/>
    <mergeCell ref="H30:I30"/>
    <mergeCell ref="J30:K30"/>
    <mergeCell ref="L30:M30"/>
    <mergeCell ref="N30:O30"/>
    <mergeCell ref="P30:Q30"/>
    <mergeCell ref="R30:S30"/>
    <mergeCell ref="D29:E29"/>
    <mergeCell ref="F29:G29"/>
    <mergeCell ref="H29:I29"/>
    <mergeCell ref="J29:K29"/>
    <mergeCell ref="L29:M29"/>
    <mergeCell ref="N29:O29"/>
    <mergeCell ref="P27:Q27"/>
    <mergeCell ref="R27:S27"/>
    <mergeCell ref="D28:E28"/>
    <mergeCell ref="F28:G28"/>
    <mergeCell ref="H28:I28"/>
    <mergeCell ref="J28:K28"/>
    <mergeCell ref="L28:M28"/>
    <mergeCell ref="N28:O28"/>
    <mergeCell ref="P28:Q28"/>
    <mergeCell ref="R28:S28"/>
    <mergeCell ref="D27:E27"/>
    <mergeCell ref="F27:G27"/>
    <mergeCell ref="H27:I27"/>
    <mergeCell ref="J27:K27"/>
    <mergeCell ref="L27:M27"/>
    <mergeCell ref="N27:O27"/>
    <mergeCell ref="P25:Q25"/>
    <mergeCell ref="R25:S25"/>
    <mergeCell ref="D26:E26"/>
    <mergeCell ref="F26:G26"/>
    <mergeCell ref="H26:I26"/>
    <mergeCell ref="J26:K26"/>
    <mergeCell ref="L26:M26"/>
    <mergeCell ref="N26:O26"/>
    <mergeCell ref="P26:Q26"/>
    <mergeCell ref="R26:S26"/>
    <mergeCell ref="D25:E25"/>
    <mergeCell ref="F25:G25"/>
    <mergeCell ref="H25:I25"/>
    <mergeCell ref="J25:K25"/>
    <mergeCell ref="L25:M25"/>
    <mergeCell ref="N25:O25"/>
    <mergeCell ref="P23:Q23"/>
    <mergeCell ref="R23:S23"/>
    <mergeCell ref="D24:E24"/>
    <mergeCell ref="F24:G24"/>
    <mergeCell ref="H24:I24"/>
    <mergeCell ref="J24:K24"/>
    <mergeCell ref="L24:M24"/>
    <mergeCell ref="N24:O24"/>
    <mergeCell ref="P24:Q24"/>
    <mergeCell ref="R24:S24"/>
    <mergeCell ref="D23:E23"/>
    <mergeCell ref="F23:G23"/>
    <mergeCell ref="H23:I23"/>
    <mergeCell ref="J23:K23"/>
    <mergeCell ref="L23:M23"/>
    <mergeCell ref="N23:O23"/>
    <mergeCell ref="P21:Q21"/>
    <mergeCell ref="R21:S21"/>
    <mergeCell ref="D22:E22"/>
    <mergeCell ref="F22:G22"/>
    <mergeCell ref="H22:I22"/>
    <mergeCell ref="J22:K22"/>
    <mergeCell ref="L22:M22"/>
    <mergeCell ref="N22:O22"/>
    <mergeCell ref="P22:Q22"/>
    <mergeCell ref="R22:S22"/>
    <mergeCell ref="D21:E21"/>
    <mergeCell ref="F21:G21"/>
    <mergeCell ref="H21:I21"/>
    <mergeCell ref="J21:K21"/>
    <mergeCell ref="L21:M21"/>
    <mergeCell ref="N21:O21"/>
    <mergeCell ref="P19:Q19"/>
    <mergeCell ref="R19:S19"/>
    <mergeCell ref="D20:E20"/>
    <mergeCell ref="F20:G20"/>
    <mergeCell ref="H20:I20"/>
    <mergeCell ref="J20:K20"/>
    <mergeCell ref="L20:M20"/>
    <mergeCell ref="N20:O20"/>
    <mergeCell ref="P20:Q20"/>
    <mergeCell ref="R20:S20"/>
    <mergeCell ref="D19:E19"/>
    <mergeCell ref="F19:G19"/>
    <mergeCell ref="H19:I19"/>
    <mergeCell ref="J19:K19"/>
    <mergeCell ref="L19:M19"/>
    <mergeCell ref="N19:O19"/>
    <mergeCell ref="P17:Q17"/>
    <mergeCell ref="R17:S17"/>
    <mergeCell ref="D18:E18"/>
    <mergeCell ref="F18:G18"/>
    <mergeCell ref="H18:I18"/>
    <mergeCell ref="J18:K18"/>
    <mergeCell ref="L18:M18"/>
    <mergeCell ref="N18:O18"/>
    <mergeCell ref="P18:Q18"/>
    <mergeCell ref="R18:S18"/>
    <mergeCell ref="D17:E17"/>
    <mergeCell ref="F17:G17"/>
    <mergeCell ref="H17:I17"/>
    <mergeCell ref="J17:K17"/>
    <mergeCell ref="L17:M17"/>
    <mergeCell ref="N17:O17"/>
    <mergeCell ref="N14:O14"/>
    <mergeCell ref="P14:Q14"/>
    <mergeCell ref="R14:S14"/>
    <mergeCell ref="P15:Q15"/>
    <mergeCell ref="R15:S15"/>
    <mergeCell ref="D16:E16"/>
    <mergeCell ref="F16:G16"/>
    <mergeCell ref="H16:I16"/>
    <mergeCell ref="J16:K16"/>
    <mergeCell ref="L16:M16"/>
    <mergeCell ref="N16:O16"/>
    <mergeCell ref="P16:Q16"/>
    <mergeCell ref="R16:S16"/>
    <mergeCell ref="D15:E15"/>
    <mergeCell ref="F15:G15"/>
    <mergeCell ref="H15:I15"/>
    <mergeCell ref="J15:K15"/>
    <mergeCell ref="L15:M15"/>
    <mergeCell ref="N15:O15"/>
    <mergeCell ref="P11:S11"/>
    <mergeCell ref="D12:E12"/>
    <mergeCell ref="F12:G12"/>
    <mergeCell ref="H12:I12"/>
    <mergeCell ref="J12:K12"/>
    <mergeCell ref="L12:M12"/>
    <mergeCell ref="N12:O12"/>
    <mergeCell ref="P12:Q12"/>
    <mergeCell ref="R12:S12"/>
    <mergeCell ref="B6:C11"/>
    <mergeCell ref="D6:G6"/>
    <mergeCell ref="H6:K6"/>
    <mergeCell ref="L6:O6"/>
    <mergeCell ref="P6:S6"/>
    <mergeCell ref="D7:G7"/>
    <mergeCell ref="H7:K7"/>
    <mergeCell ref="D9:G9"/>
    <mergeCell ref="H9:K9"/>
    <mergeCell ref="L9:O9"/>
    <mergeCell ref="P9:S9"/>
    <mergeCell ref="D10:G10"/>
    <mergeCell ref="H10:K10"/>
    <mergeCell ref="L10:O10"/>
    <mergeCell ref="P10:S10"/>
    <mergeCell ref="L7:O7"/>
    <mergeCell ref="P7:S7"/>
    <mergeCell ref="D8:G8"/>
    <mergeCell ref="H8:K8"/>
    <mergeCell ref="L8:O8"/>
    <mergeCell ref="P8:S8"/>
    <mergeCell ref="D11:G11"/>
    <mergeCell ref="H11:K11"/>
    <mergeCell ref="L11:O11"/>
    <mergeCell ref="B1:C1"/>
    <mergeCell ref="D1:N1"/>
    <mergeCell ref="O1:S1"/>
    <mergeCell ref="B2:S2"/>
    <mergeCell ref="B3:S3"/>
    <mergeCell ref="C4:L4"/>
    <mergeCell ref="M4:N4"/>
    <mergeCell ref="O4:S4"/>
    <mergeCell ref="C5:L5"/>
    <mergeCell ref="M5:N5"/>
    <mergeCell ref="O5:S5"/>
  </mergeCells>
  <pageMargins left="0.7" right="0.7" top="0.75" bottom="0.75" header="0.3" footer="0.3"/>
  <pageSetup scale="74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4">
    <tabColor rgb="FF00B050"/>
    <pageSetUpPr fitToPage="1"/>
  </sheetPr>
  <dimension ref="C1:O38"/>
  <sheetViews>
    <sheetView topLeftCell="B1" zoomScaleNormal="100" workbookViewId="0">
      <selection activeCell="C10" sqref="C10:L10"/>
    </sheetView>
  </sheetViews>
  <sheetFormatPr baseColWidth="10" defaultRowHeight="12.75" x14ac:dyDescent="0.2"/>
  <cols>
    <col min="1" max="1" width="0.42578125" style="2" customWidth="1"/>
    <col min="2" max="2" width="0.85546875" style="2" customWidth="1"/>
    <col min="3" max="3" width="13.42578125" style="2" customWidth="1"/>
    <col min="4" max="4" width="6.7109375" style="2" customWidth="1"/>
    <col min="5" max="5" width="31.42578125" style="2" customWidth="1"/>
    <col min="6" max="6" width="5.7109375" style="2" customWidth="1"/>
    <col min="7" max="7" width="6" style="2" customWidth="1"/>
    <col min="8" max="8" width="5.85546875" style="2" customWidth="1"/>
    <col min="9" max="9" width="12.85546875" style="2" customWidth="1"/>
    <col min="10" max="10" width="12.42578125" style="2" customWidth="1"/>
    <col min="11" max="11" width="5.28515625" style="2" customWidth="1"/>
    <col min="12" max="12" width="10.85546875" style="2" customWidth="1"/>
    <col min="13" max="13" width="4.140625" style="2" customWidth="1"/>
    <col min="14" max="14" width="7.7109375" style="2" customWidth="1"/>
    <col min="15" max="15" width="8" style="2" customWidth="1"/>
    <col min="16" max="95" width="11.42578125" style="2"/>
    <col min="96" max="96" width="2.5703125" style="2" customWidth="1"/>
    <col min="97" max="97" width="13.42578125" style="2" bestFit="1" customWidth="1"/>
    <col min="98" max="98" width="6.7109375" style="2" customWidth="1"/>
    <col min="99" max="99" width="14.7109375" style="2" customWidth="1"/>
    <col min="100" max="100" width="4.85546875" style="2" bestFit="1" customWidth="1"/>
    <col min="101" max="101" width="7.7109375" style="2" customWidth="1"/>
    <col min="102" max="102" width="3.85546875" style="2" customWidth="1"/>
    <col min="103" max="103" width="11.42578125" style="2"/>
    <col min="104" max="104" width="13.42578125" style="2" bestFit="1" customWidth="1"/>
    <col min="105" max="105" width="7.7109375" style="2" customWidth="1"/>
    <col min="106" max="106" width="5.140625" style="2" customWidth="1"/>
    <col min="107" max="351" width="11.42578125" style="2"/>
    <col min="352" max="352" width="2.5703125" style="2" customWidth="1"/>
    <col min="353" max="353" width="13.42578125" style="2" bestFit="1" customWidth="1"/>
    <col min="354" max="354" width="6.7109375" style="2" customWidth="1"/>
    <col min="355" max="355" width="14.7109375" style="2" customWidth="1"/>
    <col min="356" max="356" width="4.85546875" style="2" bestFit="1" customWidth="1"/>
    <col min="357" max="357" width="7.7109375" style="2" customWidth="1"/>
    <col min="358" max="358" width="3.85546875" style="2" customWidth="1"/>
    <col min="359" max="359" width="11.42578125" style="2"/>
    <col min="360" max="360" width="13.42578125" style="2" bestFit="1" customWidth="1"/>
    <col min="361" max="361" width="7.7109375" style="2" customWidth="1"/>
    <col min="362" max="362" width="5.140625" style="2" customWidth="1"/>
    <col min="363" max="607" width="11.42578125" style="2"/>
    <col min="608" max="608" width="2.5703125" style="2" customWidth="1"/>
    <col min="609" max="609" width="13.42578125" style="2" bestFit="1" customWidth="1"/>
    <col min="610" max="610" width="6.7109375" style="2" customWidth="1"/>
    <col min="611" max="611" width="14.7109375" style="2" customWidth="1"/>
    <col min="612" max="612" width="4.85546875" style="2" bestFit="1" customWidth="1"/>
    <col min="613" max="613" width="7.7109375" style="2" customWidth="1"/>
    <col min="614" max="614" width="3.85546875" style="2" customWidth="1"/>
    <col min="615" max="615" width="11.42578125" style="2"/>
    <col min="616" max="616" width="13.42578125" style="2" bestFit="1" customWidth="1"/>
    <col min="617" max="617" width="7.7109375" style="2" customWidth="1"/>
    <col min="618" max="618" width="5.140625" style="2" customWidth="1"/>
    <col min="619" max="863" width="11.42578125" style="2"/>
    <col min="864" max="864" width="2.5703125" style="2" customWidth="1"/>
    <col min="865" max="865" width="13.42578125" style="2" bestFit="1" customWidth="1"/>
    <col min="866" max="866" width="6.7109375" style="2" customWidth="1"/>
    <col min="867" max="867" width="14.7109375" style="2" customWidth="1"/>
    <col min="868" max="868" width="4.85546875" style="2" bestFit="1" customWidth="1"/>
    <col min="869" max="869" width="7.7109375" style="2" customWidth="1"/>
    <col min="870" max="870" width="3.85546875" style="2" customWidth="1"/>
    <col min="871" max="871" width="11.42578125" style="2"/>
    <col min="872" max="872" width="13.42578125" style="2" bestFit="1" customWidth="1"/>
    <col min="873" max="873" width="7.7109375" style="2" customWidth="1"/>
    <col min="874" max="874" width="5.140625" style="2" customWidth="1"/>
    <col min="875" max="1119" width="11.42578125" style="2"/>
    <col min="1120" max="1120" width="2.5703125" style="2" customWidth="1"/>
    <col min="1121" max="1121" width="13.42578125" style="2" bestFit="1" customWidth="1"/>
    <col min="1122" max="1122" width="6.7109375" style="2" customWidth="1"/>
    <col min="1123" max="1123" width="14.7109375" style="2" customWidth="1"/>
    <col min="1124" max="1124" width="4.85546875" style="2" bestFit="1" customWidth="1"/>
    <col min="1125" max="1125" width="7.7109375" style="2" customWidth="1"/>
    <col min="1126" max="1126" width="3.85546875" style="2" customWidth="1"/>
    <col min="1127" max="1127" width="11.42578125" style="2"/>
    <col min="1128" max="1128" width="13.42578125" style="2" bestFit="1" customWidth="1"/>
    <col min="1129" max="1129" width="7.7109375" style="2" customWidth="1"/>
    <col min="1130" max="1130" width="5.140625" style="2" customWidth="1"/>
    <col min="1131" max="1375" width="11.42578125" style="2"/>
    <col min="1376" max="1376" width="2.5703125" style="2" customWidth="1"/>
    <col min="1377" max="1377" width="13.42578125" style="2" bestFit="1" customWidth="1"/>
    <col min="1378" max="1378" width="6.7109375" style="2" customWidth="1"/>
    <col min="1379" max="1379" width="14.7109375" style="2" customWidth="1"/>
    <col min="1380" max="1380" width="4.85546875" style="2" bestFit="1" customWidth="1"/>
    <col min="1381" max="1381" width="7.7109375" style="2" customWidth="1"/>
    <col min="1382" max="1382" width="3.85546875" style="2" customWidth="1"/>
    <col min="1383" max="1383" width="11.42578125" style="2"/>
    <col min="1384" max="1384" width="13.42578125" style="2" bestFit="1" customWidth="1"/>
    <col min="1385" max="1385" width="7.7109375" style="2" customWidth="1"/>
    <col min="1386" max="1386" width="5.140625" style="2" customWidth="1"/>
    <col min="1387" max="1631" width="11.42578125" style="2"/>
    <col min="1632" max="1632" width="2.5703125" style="2" customWidth="1"/>
    <col min="1633" max="1633" width="13.42578125" style="2" bestFit="1" customWidth="1"/>
    <col min="1634" max="1634" width="6.7109375" style="2" customWidth="1"/>
    <col min="1635" max="1635" width="14.7109375" style="2" customWidth="1"/>
    <col min="1636" max="1636" width="4.85546875" style="2" bestFit="1" customWidth="1"/>
    <col min="1637" max="1637" width="7.7109375" style="2" customWidth="1"/>
    <col min="1638" max="1638" width="3.85546875" style="2" customWidth="1"/>
    <col min="1639" max="1639" width="11.42578125" style="2"/>
    <col min="1640" max="1640" width="13.42578125" style="2" bestFit="1" customWidth="1"/>
    <col min="1641" max="1641" width="7.7109375" style="2" customWidth="1"/>
    <col min="1642" max="1642" width="5.140625" style="2" customWidth="1"/>
    <col min="1643" max="1887" width="11.42578125" style="2"/>
    <col min="1888" max="1888" width="2.5703125" style="2" customWidth="1"/>
    <col min="1889" max="1889" width="13.42578125" style="2" bestFit="1" customWidth="1"/>
    <col min="1890" max="1890" width="6.7109375" style="2" customWidth="1"/>
    <col min="1891" max="1891" width="14.7109375" style="2" customWidth="1"/>
    <col min="1892" max="1892" width="4.85546875" style="2" bestFit="1" customWidth="1"/>
    <col min="1893" max="1893" width="7.7109375" style="2" customWidth="1"/>
    <col min="1894" max="1894" width="3.85546875" style="2" customWidth="1"/>
    <col min="1895" max="1895" width="11.42578125" style="2"/>
    <col min="1896" max="1896" width="13.42578125" style="2" bestFit="1" customWidth="1"/>
    <col min="1897" max="1897" width="7.7109375" style="2" customWidth="1"/>
    <col min="1898" max="1898" width="5.140625" style="2" customWidth="1"/>
    <col min="1899" max="2143" width="11.42578125" style="2"/>
    <col min="2144" max="2144" width="2.5703125" style="2" customWidth="1"/>
    <col min="2145" max="2145" width="13.42578125" style="2" bestFit="1" customWidth="1"/>
    <col min="2146" max="2146" width="6.7109375" style="2" customWidth="1"/>
    <col min="2147" max="2147" width="14.7109375" style="2" customWidth="1"/>
    <col min="2148" max="2148" width="4.85546875" style="2" bestFit="1" customWidth="1"/>
    <col min="2149" max="2149" width="7.7109375" style="2" customWidth="1"/>
    <col min="2150" max="2150" width="3.85546875" style="2" customWidth="1"/>
    <col min="2151" max="2151" width="11.42578125" style="2"/>
    <col min="2152" max="2152" width="13.42578125" style="2" bestFit="1" customWidth="1"/>
    <col min="2153" max="2153" width="7.7109375" style="2" customWidth="1"/>
    <col min="2154" max="2154" width="5.140625" style="2" customWidth="1"/>
    <col min="2155" max="2399" width="11.42578125" style="2"/>
    <col min="2400" max="2400" width="2.5703125" style="2" customWidth="1"/>
    <col min="2401" max="2401" width="13.42578125" style="2" bestFit="1" customWidth="1"/>
    <col min="2402" max="2402" width="6.7109375" style="2" customWidth="1"/>
    <col min="2403" max="2403" width="14.7109375" style="2" customWidth="1"/>
    <col min="2404" max="2404" width="4.85546875" style="2" bestFit="1" customWidth="1"/>
    <col min="2405" max="2405" width="7.7109375" style="2" customWidth="1"/>
    <col min="2406" max="2406" width="3.85546875" style="2" customWidth="1"/>
    <col min="2407" max="2407" width="11.42578125" style="2"/>
    <col min="2408" max="2408" width="13.42578125" style="2" bestFit="1" customWidth="1"/>
    <col min="2409" max="2409" width="7.7109375" style="2" customWidth="1"/>
    <col min="2410" max="2410" width="5.140625" style="2" customWidth="1"/>
    <col min="2411" max="2655" width="11.42578125" style="2"/>
    <col min="2656" max="2656" width="2.5703125" style="2" customWidth="1"/>
    <col min="2657" max="2657" width="13.42578125" style="2" bestFit="1" customWidth="1"/>
    <col min="2658" max="2658" width="6.7109375" style="2" customWidth="1"/>
    <col min="2659" max="2659" width="14.7109375" style="2" customWidth="1"/>
    <col min="2660" max="2660" width="4.85546875" style="2" bestFit="1" customWidth="1"/>
    <col min="2661" max="2661" width="7.7109375" style="2" customWidth="1"/>
    <col min="2662" max="2662" width="3.85546875" style="2" customWidth="1"/>
    <col min="2663" max="2663" width="11.42578125" style="2"/>
    <col min="2664" max="2664" width="13.42578125" style="2" bestFit="1" customWidth="1"/>
    <col min="2665" max="2665" width="7.7109375" style="2" customWidth="1"/>
    <col min="2666" max="2666" width="5.140625" style="2" customWidth="1"/>
    <col min="2667" max="2911" width="11.42578125" style="2"/>
    <col min="2912" max="2912" width="2.5703125" style="2" customWidth="1"/>
    <col min="2913" max="2913" width="13.42578125" style="2" bestFit="1" customWidth="1"/>
    <col min="2914" max="2914" width="6.7109375" style="2" customWidth="1"/>
    <col min="2915" max="2915" width="14.7109375" style="2" customWidth="1"/>
    <col min="2916" max="2916" width="4.85546875" style="2" bestFit="1" customWidth="1"/>
    <col min="2917" max="2917" width="7.7109375" style="2" customWidth="1"/>
    <col min="2918" max="2918" width="3.85546875" style="2" customWidth="1"/>
    <col min="2919" max="2919" width="11.42578125" style="2"/>
    <col min="2920" max="2920" width="13.42578125" style="2" bestFit="1" customWidth="1"/>
    <col min="2921" max="2921" width="7.7109375" style="2" customWidth="1"/>
    <col min="2922" max="2922" width="5.140625" style="2" customWidth="1"/>
    <col min="2923" max="3167" width="11.42578125" style="2"/>
    <col min="3168" max="3168" width="2.5703125" style="2" customWidth="1"/>
    <col min="3169" max="3169" width="13.42578125" style="2" bestFit="1" customWidth="1"/>
    <col min="3170" max="3170" width="6.7109375" style="2" customWidth="1"/>
    <col min="3171" max="3171" width="14.7109375" style="2" customWidth="1"/>
    <col min="3172" max="3172" width="4.85546875" style="2" bestFit="1" customWidth="1"/>
    <col min="3173" max="3173" width="7.7109375" style="2" customWidth="1"/>
    <col min="3174" max="3174" width="3.85546875" style="2" customWidth="1"/>
    <col min="3175" max="3175" width="11.42578125" style="2"/>
    <col min="3176" max="3176" width="13.42578125" style="2" bestFit="1" customWidth="1"/>
    <col min="3177" max="3177" width="7.7109375" style="2" customWidth="1"/>
    <col min="3178" max="3178" width="5.140625" style="2" customWidth="1"/>
    <col min="3179" max="3423" width="11.42578125" style="2"/>
    <col min="3424" max="3424" width="2.5703125" style="2" customWidth="1"/>
    <col min="3425" max="3425" width="13.42578125" style="2" bestFit="1" customWidth="1"/>
    <col min="3426" max="3426" width="6.7109375" style="2" customWidth="1"/>
    <col min="3427" max="3427" width="14.7109375" style="2" customWidth="1"/>
    <col min="3428" max="3428" width="4.85546875" style="2" bestFit="1" customWidth="1"/>
    <col min="3429" max="3429" width="7.7109375" style="2" customWidth="1"/>
    <col min="3430" max="3430" width="3.85546875" style="2" customWidth="1"/>
    <col min="3431" max="3431" width="11.42578125" style="2"/>
    <col min="3432" max="3432" width="13.42578125" style="2" bestFit="1" customWidth="1"/>
    <col min="3433" max="3433" width="7.7109375" style="2" customWidth="1"/>
    <col min="3434" max="3434" width="5.140625" style="2" customWidth="1"/>
    <col min="3435" max="3679" width="11.42578125" style="2"/>
    <col min="3680" max="3680" width="2.5703125" style="2" customWidth="1"/>
    <col min="3681" max="3681" width="13.42578125" style="2" bestFit="1" customWidth="1"/>
    <col min="3682" max="3682" width="6.7109375" style="2" customWidth="1"/>
    <col min="3683" max="3683" width="14.7109375" style="2" customWidth="1"/>
    <col min="3684" max="3684" width="4.85546875" style="2" bestFit="1" customWidth="1"/>
    <col min="3685" max="3685" width="7.7109375" style="2" customWidth="1"/>
    <col min="3686" max="3686" width="3.85546875" style="2" customWidth="1"/>
    <col min="3687" max="3687" width="11.42578125" style="2"/>
    <col min="3688" max="3688" width="13.42578125" style="2" bestFit="1" customWidth="1"/>
    <col min="3689" max="3689" width="7.7109375" style="2" customWidth="1"/>
    <col min="3690" max="3690" width="5.140625" style="2" customWidth="1"/>
    <col min="3691" max="3935" width="11.42578125" style="2"/>
    <col min="3936" max="3936" width="2.5703125" style="2" customWidth="1"/>
    <col min="3937" max="3937" width="13.42578125" style="2" bestFit="1" customWidth="1"/>
    <col min="3938" max="3938" width="6.7109375" style="2" customWidth="1"/>
    <col min="3939" max="3939" width="14.7109375" style="2" customWidth="1"/>
    <col min="3940" max="3940" width="4.85546875" style="2" bestFit="1" customWidth="1"/>
    <col min="3941" max="3941" width="7.7109375" style="2" customWidth="1"/>
    <col min="3942" max="3942" width="3.85546875" style="2" customWidth="1"/>
    <col min="3943" max="3943" width="11.42578125" style="2"/>
    <col min="3944" max="3944" width="13.42578125" style="2" bestFit="1" customWidth="1"/>
    <col min="3945" max="3945" width="7.7109375" style="2" customWidth="1"/>
    <col min="3946" max="3946" width="5.140625" style="2" customWidth="1"/>
    <col min="3947" max="4191" width="11.42578125" style="2"/>
    <col min="4192" max="4192" width="2.5703125" style="2" customWidth="1"/>
    <col min="4193" max="4193" width="13.42578125" style="2" bestFit="1" customWidth="1"/>
    <col min="4194" max="4194" width="6.7109375" style="2" customWidth="1"/>
    <col min="4195" max="4195" width="14.7109375" style="2" customWidth="1"/>
    <col min="4196" max="4196" width="4.85546875" style="2" bestFit="1" customWidth="1"/>
    <col min="4197" max="4197" width="7.7109375" style="2" customWidth="1"/>
    <col min="4198" max="4198" width="3.85546875" style="2" customWidth="1"/>
    <col min="4199" max="4199" width="11.42578125" style="2"/>
    <col min="4200" max="4200" width="13.42578125" style="2" bestFit="1" customWidth="1"/>
    <col min="4201" max="4201" width="7.7109375" style="2" customWidth="1"/>
    <col min="4202" max="4202" width="5.140625" style="2" customWidth="1"/>
    <col min="4203" max="4447" width="11.42578125" style="2"/>
    <col min="4448" max="4448" width="2.5703125" style="2" customWidth="1"/>
    <col min="4449" max="4449" width="13.42578125" style="2" bestFit="1" customWidth="1"/>
    <col min="4450" max="4450" width="6.7109375" style="2" customWidth="1"/>
    <col min="4451" max="4451" width="14.7109375" style="2" customWidth="1"/>
    <col min="4452" max="4452" width="4.85546875" style="2" bestFit="1" customWidth="1"/>
    <col min="4453" max="4453" width="7.7109375" style="2" customWidth="1"/>
    <col min="4454" max="4454" width="3.85546875" style="2" customWidth="1"/>
    <col min="4455" max="4455" width="11.42578125" style="2"/>
    <col min="4456" max="4456" width="13.42578125" style="2" bestFit="1" customWidth="1"/>
    <col min="4457" max="4457" width="7.7109375" style="2" customWidth="1"/>
    <col min="4458" max="4458" width="5.140625" style="2" customWidth="1"/>
    <col min="4459" max="4703" width="11.42578125" style="2"/>
    <col min="4704" max="4704" width="2.5703125" style="2" customWidth="1"/>
    <col min="4705" max="4705" width="13.42578125" style="2" bestFit="1" customWidth="1"/>
    <col min="4706" max="4706" width="6.7109375" style="2" customWidth="1"/>
    <col min="4707" max="4707" width="14.7109375" style="2" customWidth="1"/>
    <col min="4708" max="4708" width="4.85546875" style="2" bestFit="1" customWidth="1"/>
    <col min="4709" max="4709" width="7.7109375" style="2" customWidth="1"/>
    <col min="4710" max="4710" width="3.85546875" style="2" customWidth="1"/>
    <col min="4711" max="4711" width="11.42578125" style="2"/>
    <col min="4712" max="4712" width="13.42578125" style="2" bestFit="1" customWidth="1"/>
    <col min="4713" max="4713" width="7.7109375" style="2" customWidth="1"/>
    <col min="4714" max="4714" width="5.140625" style="2" customWidth="1"/>
    <col min="4715" max="4959" width="11.42578125" style="2"/>
    <col min="4960" max="4960" width="2.5703125" style="2" customWidth="1"/>
    <col min="4961" max="4961" width="13.42578125" style="2" bestFit="1" customWidth="1"/>
    <col min="4962" max="4962" width="6.7109375" style="2" customWidth="1"/>
    <col min="4963" max="4963" width="14.7109375" style="2" customWidth="1"/>
    <col min="4964" max="4964" width="4.85546875" style="2" bestFit="1" customWidth="1"/>
    <col min="4965" max="4965" width="7.7109375" style="2" customWidth="1"/>
    <col min="4966" max="4966" width="3.85546875" style="2" customWidth="1"/>
    <col min="4967" max="4967" width="11.42578125" style="2"/>
    <col min="4968" max="4968" width="13.42578125" style="2" bestFit="1" customWidth="1"/>
    <col min="4969" max="4969" width="7.7109375" style="2" customWidth="1"/>
    <col min="4970" max="4970" width="5.140625" style="2" customWidth="1"/>
    <col min="4971" max="5215" width="11.42578125" style="2"/>
    <col min="5216" max="5216" width="2.5703125" style="2" customWidth="1"/>
    <col min="5217" max="5217" width="13.42578125" style="2" bestFit="1" customWidth="1"/>
    <col min="5218" max="5218" width="6.7109375" style="2" customWidth="1"/>
    <col min="5219" max="5219" width="14.7109375" style="2" customWidth="1"/>
    <col min="5220" max="5220" width="4.85546875" style="2" bestFit="1" customWidth="1"/>
    <col min="5221" max="5221" width="7.7109375" style="2" customWidth="1"/>
    <col min="5222" max="5222" width="3.85546875" style="2" customWidth="1"/>
    <col min="5223" max="5223" width="11.42578125" style="2"/>
    <col min="5224" max="5224" width="13.42578125" style="2" bestFit="1" customWidth="1"/>
    <col min="5225" max="5225" width="7.7109375" style="2" customWidth="1"/>
    <col min="5226" max="5226" width="5.140625" style="2" customWidth="1"/>
    <col min="5227" max="5471" width="11.42578125" style="2"/>
    <col min="5472" max="5472" width="2.5703125" style="2" customWidth="1"/>
    <col min="5473" max="5473" width="13.42578125" style="2" bestFit="1" customWidth="1"/>
    <col min="5474" max="5474" width="6.7109375" style="2" customWidth="1"/>
    <col min="5475" max="5475" width="14.7109375" style="2" customWidth="1"/>
    <col min="5476" max="5476" width="4.85546875" style="2" bestFit="1" customWidth="1"/>
    <col min="5477" max="5477" width="7.7109375" style="2" customWidth="1"/>
    <col min="5478" max="5478" width="3.85546875" style="2" customWidth="1"/>
    <col min="5479" max="5479" width="11.42578125" style="2"/>
    <col min="5480" max="5480" width="13.42578125" style="2" bestFit="1" customWidth="1"/>
    <col min="5481" max="5481" width="7.7109375" style="2" customWidth="1"/>
    <col min="5482" max="5482" width="5.140625" style="2" customWidth="1"/>
    <col min="5483" max="5727" width="11.42578125" style="2"/>
    <col min="5728" max="5728" width="2.5703125" style="2" customWidth="1"/>
    <col min="5729" max="5729" width="13.42578125" style="2" bestFit="1" customWidth="1"/>
    <col min="5730" max="5730" width="6.7109375" style="2" customWidth="1"/>
    <col min="5731" max="5731" width="14.7109375" style="2" customWidth="1"/>
    <col min="5732" max="5732" width="4.85546875" style="2" bestFit="1" customWidth="1"/>
    <col min="5733" max="5733" width="7.7109375" style="2" customWidth="1"/>
    <col min="5734" max="5734" width="3.85546875" style="2" customWidth="1"/>
    <col min="5735" max="5735" width="11.42578125" style="2"/>
    <col min="5736" max="5736" width="13.42578125" style="2" bestFit="1" customWidth="1"/>
    <col min="5737" max="5737" width="7.7109375" style="2" customWidth="1"/>
    <col min="5738" max="5738" width="5.140625" style="2" customWidth="1"/>
    <col min="5739" max="5983" width="11.42578125" style="2"/>
    <col min="5984" max="5984" width="2.5703125" style="2" customWidth="1"/>
    <col min="5985" max="5985" width="13.42578125" style="2" bestFit="1" customWidth="1"/>
    <col min="5986" max="5986" width="6.7109375" style="2" customWidth="1"/>
    <col min="5987" max="5987" width="14.7109375" style="2" customWidth="1"/>
    <col min="5988" max="5988" width="4.85546875" style="2" bestFit="1" customWidth="1"/>
    <col min="5989" max="5989" width="7.7109375" style="2" customWidth="1"/>
    <col min="5990" max="5990" width="3.85546875" style="2" customWidth="1"/>
    <col min="5991" max="5991" width="11.42578125" style="2"/>
    <col min="5992" max="5992" width="13.42578125" style="2" bestFit="1" customWidth="1"/>
    <col min="5993" max="5993" width="7.7109375" style="2" customWidth="1"/>
    <col min="5994" max="5994" width="5.140625" style="2" customWidth="1"/>
    <col min="5995" max="6239" width="11.42578125" style="2"/>
    <col min="6240" max="6240" width="2.5703125" style="2" customWidth="1"/>
    <col min="6241" max="6241" width="13.42578125" style="2" bestFit="1" customWidth="1"/>
    <col min="6242" max="6242" width="6.7109375" style="2" customWidth="1"/>
    <col min="6243" max="6243" width="14.7109375" style="2" customWidth="1"/>
    <col min="6244" max="6244" width="4.85546875" style="2" bestFit="1" customWidth="1"/>
    <col min="6245" max="6245" width="7.7109375" style="2" customWidth="1"/>
    <col min="6246" max="6246" width="3.85546875" style="2" customWidth="1"/>
    <col min="6247" max="6247" width="11.42578125" style="2"/>
    <col min="6248" max="6248" width="13.42578125" style="2" bestFit="1" customWidth="1"/>
    <col min="6249" max="6249" width="7.7109375" style="2" customWidth="1"/>
    <col min="6250" max="6250" width="5.140625" style="2" customWidth="1"/>
    <col min="6251" max="6495" width="11.42578125" style="2"/>
    <col min="6496" max="6496" width="2.5703125" style="2" customWidth="1"/>
    <col min="6497" max="6497" width="13.42578125" style="2" bestFit="1" customWidth="1"/>
    <col min="6498" max="6498" width="6.7109375" style="2" customWidth="1"/>
    <col min="6499" max="6499" width="14.7109375" style="2" customWidth="1"/>
    <col min="6500" max="6500" width="4.85546875" style="2" bestFit="1" customWidth="1"/>
    <col min="6501" max="6501" width="7.7109375" style="2" customWidth="1"/>
    <col min="6502" max="6502" width="3.85546875" style="2" customWidth="1"/>
    <col min="6503" max="6503" width="11.42578125" style="2"/>
    <col min="6504" max="6504" width="13.42578125" style="2" bestFit="1" customWidth="1"/>
    <col min="6505" max="6505" width="7.7109375" style="2" customWidth="1"/>
    <col min="6506" max="6506" width="5.140625" style="2" customWidth="1"/>
    <col min="6507" max="6751" width="11.42578125" style="2"/>
    <col min="6752" max="6752" width="2.5703125" style="2" customWidth="1"/>
    <col min="6753" max="6753" width="13.42578125" style="2" bestFit="1" customWidth="1"/>
    <col min="6754" max="6754" width="6.7109375" style="2" customWidth="1"/>
    <col min="6755" max="6755" width="14.7109375" style="2" customWidth="1"/>
    <col min="6756" max="6756" width="4.85546875" style="2" bestFit="1" customWidth="1"/>
    <col min="6757" max="6757" width="7.7109375" style="2" customWidth="1"/>
    <col min="6758" max="6758" width="3.85546875" style="2" customWidth="1"/>
    <col min="6759" max="6759" width="11.42578125" style="2"/>
    <col min="6760" max="6760" width="13.42578125" style="2" bestFit="1" customWidth="1"/>
    <col min="6761" max="6761" width="7.7109375" style="2" customWidth="1"/>
    <col min="6762" max="6762" width="5.140625" style="2" customWidth="1"/>
    <col min="6763" max="7007" width="11.42578125" style="2"/>
    <col min="7008" max="7008" width="2.5703125" style="2" customWidth="1"/>
    <col min="7009" max="7009" width="13.42578125" style="2" bestFit="1" customWidth="1"/>
    <col min="7010" max="7010" width="6.7109375" style="2" customWidth="1"/>
    <col min="7011" max="7011" width="14.7109375" style="2" customWidth="1"/>
    <col min="7012" max="7012" width="4.85546875" style="2" bestFit="1" customWidth="1"/>
    <col min="7013" max="7013" width="7.7109375" style="2" customWidth="1"/>
    <col min="7014" max="7014" width="3.85546875" style="2" customWidth="1"/>
    <col min="7015" max="7015" width="11.42578125" style="2"/>
    <col min="7016" max="7016" width="13.42578125" style="2" bestFit="1" customWidth="1"/>
    <col min="7017" max="7017" width="7.7109375" style="2" customWidth="1"/>
    <col min="7018" max="7018" width="5.140625" style="2" customWidth="1"/>
    <col min="7019" max="7263" width="11.42578125" style="2"/>
    <col min="7264" max="7264" width="2.5703125" style="2" customWidth="1"/>
    <col min="7265" max="7265" width="13.42578125" style="2" bestFit="1" customWidth="1"/>
    <col min="7266" max="7266" width="6.7109375" style="2" customWidth="1"/>
    <col min="7267" max="7267" width="14.7109375" style="2" customWidth="1"/>
    <col min="7268" max="7268" width="4.85546875" style="2" bestFit="1" customWidth="1"/>
    <col min="7269" max="7269" width="7.7109375" style="2" customWidth="1"/>
    <col min="7270" max="7270" width="3.85546875" style="2" customWidth="1"/>
    <col min="7271" max="7271" width="11.42578125" style="2"/>
    <col min="7272" max="7272" width="13.42578125" style="2" bestFit="1" customWidth="1"/>
    <col min="7273" max="7273" width="7.7109375" style="2" customWidth="1"/>
    <col min="7274" max="7274" width="5.140625" style="2" customWidth="1"/>
    <col min="7275" max="7519" width="11.42578125" style="2"/>
    <col min="7520" max="7520" width="2.5703125" style="2" customWidth="1"/>
    <col min="7521" max="7521" width="13.42578125" style="2" bestFit="1" customWidth="1"/>
    <col min="7522" max="7522" width="6.7109375" style="2" customWidth="1"/>
    <col min="7523" max="7523" width="14.7109375" style="2" customWidth="1"/>
    <col min="7524" max="7524" width="4.85546875" style="2" bestFit="1" customWidth="1"/>
    <col min="7525" max="7525" width="7.7109375" style="2" customWidth="1"/>
    <col min="7526" max="7526" width="3.85546875" style="2" customWidth="1"/>
    <col min="7527" max="7527" width="11.42578125" style="2"/>
    <col min="7528" max="7528" width="13.42578125" style="2" bestFit="1" customWidth="1"/>
    <col min="7529" max="7529" width="7.7109375" style="2" customWidth="1"/>
    <col min="7530" max="7530" width="5.140625" style="2" customWidth="1"/>
    <col min="7531" max="7775" width="11.42578125" style="2"/>
    <col min="7776" max="7776" width="2.5703125" style="2" customWidth="1"/>
    <col min="7777" max="7777" width="13.42578125" style="2" bestFit="1" customWidth="1"/>
    <col min="7778" max="7778" width="6.7109375" style="2" customWidth="1"/>
    <col min="7779" max="7779" width="14.7109375" style="2" customWidth="1"/>
    <col min="7780" max="7780" width="4.85546875" style="2" bestFit="1" customWidth="1"/>
    <col min="7781" max="7781" width="7.7109375" style="2" customWidth="1"/>
    <col min="7782" max="7782" width="3.85546875" style="2" customWidth="1"/>
    <col min="7783" max="7783" width="11.42578125" style="2"/>
    <col min="7784" max="7784" width="13.42578125" style="2" bestFit="1" customWidth="1"/>
    <col min="7785" max="7785" width="7.7109375" style="2" customWidth="1"/>
    <col min="7786" max="7786" width="5.140625" style="2" customWidth="1"/>
    <col min="7787" max="8031" width="11.42578125" style="2"/>
    <col min="8032" max="8032" width="2.5703125" style="2" customWidth="1"/>
    <col min="8033" max="8033" width="13.42578125" style="2" bestFit="1" customWidth="1"/>
    <col min="8034" max="8034" width="6.7109375" style="2" customWidth="1"/>
    <col min="8035" max="8035" width="14.7109375" style="2" customWidth="1"/>
    <col min="8036" max="8036" width="4.85546875" style="2" bestFit="1" customWidth="1"/>
    <col min="8037" max="8037" width="7.7109375" style="2" customWidth="1"/>
    <col min="8038" max="8038" width="3.85546875" style="2" customWidth="1"/>
    <col min="8039" max="8039" width="11.42578125" style="2"/>
    <col min="8040" max="8040" width="13.42578125" style="2" bestFit="1" customWidth="1"/>
    <col min="8041" max="8041" width="7.7109375" style="2" customWidth="1"/>
    <col min="8042" max="8042" width="5.140625" style="2" customWidth="1"/>
    <col min="8043" max="8287" width="11.42578125" style="2"/>
    <col min="8288" max="8288" width="2.5703125" style="2" customWidth="1"/>
    <col min="8289" max="8289" width="13.42578125" style="2" bestFit="1" customWidth="1"/>
    <col min="8290" max="8290" width="6.7109375" style="2" customWidth="1"/>
    <col min="8291" max="8291" width="14.7109375" style="2" customWidth="1"/>
    <col min="8292" max="8292" width="4.85546875" style="2" bestFit="1" customWidth="1"/>
    <col min="8293" max="8293" width="7.7109375" style="2" customWidth="1"/>
    <col min="8294" max="8294" width="3.85546875" style="2" customWidth="1"/>
    <col min="8295" max="8295" width="11.42578125" style="2"/>
    <col min="8296" max="8296" width="13.42578125" style="2" bestFit="1" customWidth="1"/>
    <col min="8297" max="8297" width="7.7109375" style="2" customWidth="1"/>
    <col min="8298" max="8298" width="5.140625" style="2" customWidth="1"/>
    <col min="8299" max="8543" width="11.42578125" style="2"/>
    <col min="8544" max="8544" width="2.5703125" style="2" customWidth="1"/>
    <col min="8545" max="8545" width="13.42578125" style="2" bestFit="1" customWidth="1"/>
    <col min="8546" max="8546" width="6.7109375" style="2" customWidth="1"/>
    <col min="8547" max="8547" width="14.7109375" style="2" customWidth="1"/>
    <col min="8548" max="8548" width="4.85546875" style="2" bestFit="1" customWidth="1"/>
    <col min="8549" max="8549" width="7.7109375" style="2" customWidth="1"/>
    <col min="8550" max="8550" width="3.85546875" style="2" customWidth="1"/>
    <col min="8551" max="8551" width="11.42578125" style="2"/>
    <col min="8552" max="8552" width="13.42578125" style="2" bestFit="1" customWidth="1"/>
    <col min="8553" max="8553" width="7.7109375" style="2" customWidth="1"/>
    <col min="8554" max="8554" width="5.140625" style="2" customWidth="1"/>
    <col min="8555" max="8799" width="11.42578125" style="2"/>
    <col min="8800" max="8800" width="2.5703125" style="2" customWidth="1"/>
    <col min="8801" max="8801" width="13.42578125" style="2" bestFit="1" customWidth="1"/>
    <col min="8802" max="8802" width="6.7109375" style="2" customWidth="1"/>
    <col min="8803" max="8803" width="14.7109375" style="2" customWidth="1"/>
    <col min="8804" max="8804" width="4.85546875" style="2" bestFit="1" customWidth="1"/>
    <col min="8805" max="8805" width="7.7109375" style="2" customWidth="1"/>
    <col min="8806" max="8806" width="3.85546875" style="2" customWidth="1"/>
    <col min="8807" max="8807" width="11.42578125" style="2"/>
    <col min="8808" max="8808" width="13.42578125" style="2" bestFit="1" customWidth="1"/>
    <col min="8809" max="8809" width="7.7109375" style="2" customWidth="1"/>
    <col min="8810" max="8810" width="5.140625" style="2" customWidth="1"/>
    <col min="8811" max="9055" width="11.42578125" style="2"/>
    <col min="9056" max="9056" width="2.5703125" style="2" customWidth="1"/>
    <col min="9057" max="9057" width="13.42578125" style="2" bestFit="1" customWidth="1"/>
    <col min="9058" max="9058" width="6.7109375" style="2" customWidth="1"/>
    <col min="9059" max="9059" width="14.7109375" style="2" customWidth="1"/>
    <col min="9060" max="9060" width="4.85546875" style="2" bestFit="1" customWidth="1"/>
    <col min="9061" max="9061" width="7.7109375" style="2" customWidth="1"/>
    <col min="9062" max="9062" width="3.85546875" style="2" customWidth="1"/>
    <col min="9063" max="9063" width="11.42578125" style="2"/>
    <col min="9064" max="9064" width="13.42578125" style="2" bestFit="1" customWidth="1"/>
    <col min="9065" max="9065" width="7.7109375" style="2" customWidth="1"/>
    <col min="9066" max="9066" width="5.140625" style="2" customWidth="1"/>
    <col min="9067" max="9311" width="11.42578125" style="2"/>
    <col min="9312" max="9312" width="2.5703125" style="2" customWidth="1"/>
    <col min="9313" max="9313" width="13.42578125" style="2" bestFit="1" customWidth="1"/>
    <col min="9314" max="9314" width="6.7109375" style="2" customWidth="1"/>
    <col min="9315" max="9315" width="14.7109375" style="2" customWidth="1"/>
    <col min="9316" max="9316" width="4.85546875" style="2" bestFit="1" customWidth="1"/>
    <col min="9317" max="9317" width="7.7109375" style="2" customWidth="1"/>
    <col min="9318" max="9318" width="3.85546875" style="2" customWidth="1"/>
    <col min="9319" max="9319" width="11.42578125" style="2"/>
    <col min="9320" max="9320" width="13.42578125" style="2" bestFit="1" customWidth="1"/>
    <col min="9321" max="9321" width="7.7109375" style="2" customWidth="1"/>
    <col min="9322" max="9322" width="5.140625" style="2" customWidth="1"/>
    <col min="9323" max="9567" width="11.42578125" style="2"/>
    <col min="9568" max="9568" width="2.5703125" style="2" customWidth="1"/>
    <col min="9569" max="9569" width="13.42578125" style="2" bestFit="1" customWidth="1"/>
    <col min="9570" max="9570" width="6.7109375" style="2" customWidth="1"/>
    <col min="9571" max="9571" width="14.7109375" style="2" customWidth="1"/>
    <col min="9572" max="9572" width="4.85546875" style="2" bestFit="1" customWidth="1"/>
    <col min="9573" max="9573" width="7.7109375" style="2" customWidth="1"/>
    <col min="9574" max="9574" width="3.85546875" style="2" customWidth="1"/>
    <col min="9575" max="9575" width="11.42578125" style="2"/>
    <col min="9576" max="9576" width="13.42578125" style="2" bestFit="1" customWidth="1"/>
    <col min="9577" max="9577" width="7.7109375" style="2" customWidth="1"/>
    <col min="9578" max="9578" width="5.140625" style="2" customWidth="1"/>
    <col min="9579" max="9823" width="11.42578125" style="2"/>
    <col min="9824" max="9824" width="2.5703125" style="2" customWidth="1"/>
    <col min="9825" max="9825" width="13.42578125" style="2" bestFit="1" customWidth="1"/>
    <col min="9826" max="9826" width="6.7109375" style="2" customWidth="1"/>
    <col min="9827" max="9827" width="14.7109375" style="2" customWidth="1"/>
    <col min="9828" max="9828" width="4.85546875" style="2" bestFit="1" customWidth="1"/>
    <col min="9829" max="9829" width="7.7109375" style="2" customWidth="1"/>
    <col min="9830" max="9830" width="3.85546875" style="2" customWidth="1"/>
    <col min="9831" max="9831" width="11.42578125" style="2"/>
    <col min="9832" max="9832" width="13.42578125" style="2" bestFit="1" customWidth="1"/>
    <col min="9833" max="9833" width="7.7109375" style="2" customWidth="1"/>
    <col min="9834" max="9834" width="5.140625" style="2" customWidth="1"/>
    <col min="9835" max="10079" width="11.42578125" style="2"/>
    <col min="10080" max="10080" width="2.5703125" style="2" customWidth="1"/>
    <col min="10081" max="10081" width="13.42578125" style="2" bestFit="1" customWidth="1"/>
    <col min="10082" max="10082" width="6.7109375" style="2" customWidth="1"/>
    <col min="10083" max="10083" width="14.7109375" style="2" customWidth="1"/>
    <col min="10084" max="10084" width="4.85546875" style="2" bestFit="1" customWidth="1"/>
    <col min="10085" max="10085" width="7.7109375" style="2" customWidth="1"/>
    <col min="10086" max="10086" width="3.85546875" style="2" customWidth="1"/>
    <col min="10087" max="10087" width="11.42578125" style="2"/>
    <col min="10088" max="10088" width="13.42578125" style="2" bestFit="1" customWidth="1"/>
    <col min="10089" max="10089" width="7.7109375" style="2" customWidth="1"/>
    <col min="10090" max="10090" width="5.140625" style="2" customWidth="1"/>
    <col min="10091" max="10335" width="11.42578125" style="2"/>
    <col min="10336" max="10336" width="2.5703125" style="2" customWidth="1"/>
    <col min="10337" max="10337" width="13.42578125" style="2" bestFit="1" customWidth="1"/>
    <col min="10338" max="10338" width="6.7109375" style="2" customWidth="1"/>
    <col min="10339" max="10339" width="14.7109375" style="2" customWidth="1"/>
    <col min="10340" max="10340" width="4.85546875" style="2" bestFit="1" customWidth="1"/>
    <col min="10341" max="10341" width="7.7109375" style="2" customWidth="1"/>
    <col min="10342" max="10342" width="3.85546875" style="2" customWidth="1"/>
    <col min="10343" max="10343" width="11.42578125" style="2"/>
    <col min="10344" max="10344" width="13.42578125" style="2" bestFit="1" customWidth="1"/>
    <col min="10345" max="10345" width="7.7109375" style="2" customWidth="1"/>
    <col min="10346" max="10346" width="5.140625" style="2" customWidth="1"/>
    <col min="10347" max="10591" width="11.42578125" style="2"/>
    <col min="10592" max="10592" width="2.5703125" style="2" customWidth="1"/>
    <col min="10593" max="10593" width="13.42578125" style="2" bestFit="1" customWidth="1"/>
    <col min="10594" max="10594" width="6.7109375" style="2" customWidth="1"/>
    <col min="10595" max="10595" width="14.7109375" style="2" customWidth="1"/>
    <col min="10596" max="10596" width="4.85546875" style="2" bestFit="1" customWidth="1"/>
    <col min="10597" max="10597" width="7.7109375" style="2" customWidth="1"/>
    <col min="10598" max="10598" width="3.85546875" style="2" customWidth="1"/>
    <col min="10599" max="10599" width="11.42578125" style="2"/>
    <col min="10600" max="10600" width="13.42578125" style="2" bestFit="1" customWidth="1"/>
    <col min="10601" max="10601" width="7.7109375" style="2" customWidth="1"/>
    <col min="10602" max="10602" width="5.140625" style="2" customWidth="1"/>
    <col min="10603" max="10847" width="11.42578125" style="2"/>
    <col min="10848" max="10848" width="2.5703125" style="2" customWidth="1"/>
    <col min="10849" max="10849" width="13.42578125" style="2" bestFit="1" customWidth="1"/>
    <col min="10850" max="10850" width="6.7109375" style="2" customWidth="1"/>
    <col min="10851" max="10851" width="14.7109375" style="2" customWidth="1"/>
    <col min="10852" max="10852" width="4.85546875" style="2" bestFit="1" customWidth="1"/>
    <col min="10853" max="10853" width="7.7109375" style="2" customWidth="1"/>
    <col min="10854" max="10854" width="3.85546875" style="2" customWidth="1"/>
    <col min="10855" max="10855" width="11.42578125" style="2"/>
    <col min="10856" max="10856" width="13.42578125" style="2" bestFit="1" customWidth="1"/>
    <col min="10857" max="10857" width="7.7109375" style="2" customWidth="1"/>
    <col min="10858" max="10858" width="5.140625" style="2" customWidth="1"/>
    <col min="10859" max="11103" width="11.42578125" style="2"/>
    <col min="11104" max="11104" width="2.5703125" style="2" customWidth="1"/>
    <col min="11105" max="11105" width="13.42578125" style="2" bestFit="1" customWidth="1"/>
    <col min="11106" max="11106" width="6.7109375" style="2" customWidth="1"/>
    <col min="11107" max="11107" width="14.7109375" style="2" customWidth="1"/>
    <col min="11108" max="11108" width="4.85546875" style="2" bestFit="1" customWidth="1"/>
    <col min="11109" max="11109" width="7.7109375" style="2" customWidth="1"/>
    <col min="11110" max="11110" width="3.85546875" style="2" customWidth="1"/>
    <col min="11111" max="11111" width="11.42578125" style="2"/>
    <col min="11112" max="11112" width="13.42578125" style="2" bestFit="1" customWidth="1"/>
    <col min="11113" max="11113" width="7.7109375" style="2" customWidth="1"/>
    <col min="11114" max="11114" width="5.140625" style="2" customWidth="1"/>
    <col min="11115" max="11359" width="11.42578125" style="2"/>
    <col min="11360" max="11360" width="2.5703125" style="2" customWidth="1"/>
    <col min="11361" max="11361" width="13.42578125" style="2" bestFit="1" customWidth="1"/>
    <col min="11362" max="11362" width="6.7109375" style="2" customWidth="1"/>
    <col min="11363" max="11363" width="14.7109375" style="2" customWidth="1"/>
    <col min="11364" max="11364" width="4.85546875" style="2" bestFit="1" customWidth="1"/>
    <col min="11365" max="11365" width="7.7109375" style="2" customWidth="1"/>
    <col min="11366" max="11366" width="3.85546875" style="2" customWidth="1"/>
    <col min="11367" max="11367" width="11.42578125" style="2"/>
    <col min="11368" max="11368" width="13.42578125" style="2" bestFit="1" customWidth="1"/>
    <col min="11369" max="11369" width="7.7109375" style="2" customWidth="1"/>
    <col min="11370" max="11370" width="5.140625" style="2" customWidth="1"/>
    <col min="11371" max="11615" width="11.42578125" style="2"/>
    <col min="11616" max="11616" width="2.5703125" style="2" customWidth="1"/>
    <col min="11617" max="11617" width="13.42578125" style="2" bestFit="1" customWidth="1"/>
    <col min="11618" max="11618" width="6.7109375" style="2" customWidth="1"/>
    <col min="11619" max="11619" width="14.7109375" style="2" customWidth="1"/>
    <col min="11620" max="11620" width="4.85546875" style="2" bestFit="1" customWidth="1"/>
    <col min="11621" max="11621" width="7.7109375" style="2" customWidth="1"/>
    <col min="11622" max="11622" width="3.85546875" style="2" customWidth="1"/>
    <col min="11623" max="11623" width="11.42578125" style="2"/>
    <col min="11624" max="11624" width="13.42578125" style="2" bestFit="1" customWidth="1"/>
    <col min="11625" max="11625" width="7.7109375" style="2" customWidth="1"/>
    <col min="11626" max="11626" width="5.140625" style="2" customWidth="1"/>
    <col min="11627" max="11871" width="11.42578125" style="2"/>
    <col min="11872" max="11872" width="2.5703125" style="2" customWidth="1"/>
    <col min="11873" max="11873" width="13.42578125" style="2" bestFit="1" customWidth="1"/>
    <col min="11874" max="11874" width="6.7109375" style="2" customWidth="1"/>
    <col min="11875" max="11875" width="14.7109375" style="2" customWidth="1"/>
    <col min="11876" max="11876" width="4.85546875" style="2" bestFit="1" customWidth="1"/>
    <col min="11877" max="11877" width="7.7109375" style="2" customWidth="1"/>
    <col min="11878" max="11878" width="3.85546875" style="2" customWidth="1"/>
    <col min="11879" max="11879" width="11.42578125" style="2"/>
    <col min="11880" max="11880" width="13.42578125" style="2" bestFit="1" customWidth="1"/>
    <col min="11881" max="11881" width="7.7109375" style="2" customWidth="1"/>
    <col min="11882" max="11882" width="5.140625" style="2" customWidth="1"/>
    <col min="11883" max="12127" width="11.42578125" style="2"/>
    <col min="12128" max="12128" width="2.5703125" style="2" customWidth="1"/>
    <col min="12129" max="12129" width="13.42578125" style="2" bestFit="1" customWidth="1"/>
    <col min="12130" max="12130" width="6.7109375" style="2" customWidth="1"/>
    <col min="12131" max="12131" width="14.7109375" style="2" customWidth="1"/>
    <col min="12132" max="12132" width="4.85546875" style="2" bestFit="1" customWidth="1"/>
    <col min="12133" max="12133" width="7.7109375" style="2" customWidth="1"/>
    <col min="12134" max="12134" width="3.85546875" style="2" customWidth="1"/>
    <col min="12135" max="12135" width="11.42578125" style="2"/>
    <col min="12136" max="12136" width="13.42578125" style="2" bestFit="1" customWidth="1"/>
    <col min="12137" max="12137" width="7.7109375" style="2" customWidth="1"/>
    <col min="12138" max="12138" width="5.140625" style="2" customWidth="1"/>
    <col min="12139" max="12383" width="11.42578125" style="2"/>
    <col min="12384" max="12384" width="2.5703125" style="2" customWidth="1"/>
    <col min="12385" max="12385" width="13.42578125" style="2" bestFit="1" customWidth="1"/>
    <col min="12386" max="12386" width="6.7109375" style="2" customWidth="1"/>
    <col min="12387" max="12387" width="14.7109375" style="2" customWidth="1"/>
    <col min="12388" max="12388" width="4.85546875" style="2" bestFit="1" customWidth="1"/>
    <col min="12389" max="12389" width="7.7109375" style="2" customWidth="1"/>
    <col min="12390" max="12390" width="3.85546875" style="2" customWidth="1"/>
    <col min="12391" max="12391" width="11.42578125" style="2"/>
    <col min="12392" max="12392" width="13.42578125" style="2" bestFit="1" customWidth="1"/>
    <col min="12393" max="12393" width="7.7109375" style="2" customWidth="1"/>
    <col min="12394" max="12394" width="5.140625" style="2" customWidth="1"/>
    <col min="12395" max="12639" width="11.42578125" style="2"/>
    <col min="12640" max="12640" width="2.5703125" style="2" customWidth="1"/>
    <col min="12641" max="12641" width="13.42578125" style="2" bestFit="1" customWidth="1"/>
    <col min="12642" max="12642" width="6.7109375" style="2" customWidth="1"/>
    <col min="12643" max="12643" width="14.7109375" style="2" customWidth="1"/>
    <col min="12644" max="12644" width="4.85546875" style="2" bestFit="1" customWidth="1"/>
    <col min="12645" max="12645" width="7.7109375" style="2" customWidth="1"/>
    <col min="12646" max="12646" width="3.85546875" style="2" customWidth="1"/>
    <col min="12647" max="12647" width="11.42578125" style="2"/>
    <col min="12648" max="12648" width="13.42578125" style="2" bestFit="1" customWidth="1"/>
    <col min="12649" max="12649" width="7.7109375" style="2" customWidth="1"/>
    <col min="12650" max="12650" width="5.140625" style="2" customWidth="1"/>
    <col min="12651" max="12895" width="11.42578125" style="2"/>
    <col min="12896" max="12896" width="2.5703125" style="2" customWidth="1"/>
    <col min="12897" max="12897" width="13.42578125" style="2" bestFit="1" customWidth="1"/>
    <col min="12898" max="12898" width="6.7109375" style="2" customWidth="1"/>
    <col min="12899" max="12899" width="14.7109375" style="2" customWidth="1"/>
    <col min="12900" max="12900" width="4.85546875" style="2" bestFit="1" customWidth="1"/>
    <col min="12901" max="12901" width="7.7109375" style="2" customWidth="1"/>
    <col min="12902" max="12902" width="3.85546875" style="2" customWidth="1"/>
    <col min="12903" max="12903" width="11.42578125" style="2"/>
    <col min="12904" max="12904" width="13.42578125" style="2" bestFit="1" customWidth="1"/>
    <col min="12905" max="12905" width="7.7109375" style="2" customWidth="1"/>
    <col min="12906" max="12906" width="5.140625" style="2" customWidth="1"/>
    <col min="12907" max="13151" width="11.42578125" style="2"/>
    <col min="13152" max="13152" width="2.5703125" style="2" customWidth="1"/>
    <col min="13153" max="13153" width="13.42578125" style="2" bestFit="1" customWidth="1"/>
    <col min="13154" max="13154" width="6.7109375" style="2" customWidth="1"/>
    <col min="13155" max="13155" width="14.7109375" style="2" customWidth="1"/>
    <col min="13156" max="13156" width="4.85546875" style="2" bestFit="1" customWidth="1"/>
    <col min="13157" max="13157" width="7.7109375" style="2" customWidth="1"/>
    <col min="13158" max="13158" width="3.85546875" style="2" customWidth="1"/>
    <col min="13159" max="13159" width="11.42578125" style="2"/>
    <col min="13160" max="13160" width="13.42578125" style="2" bestFit="1" customWidth="1"/>
    <col min="13161" max="13161" width="7.7109375" style="2" customWidth="1"/>
    <col min="13162" max="13162" width="5.140625" style="2" customWidth="1"/>
    <col min="13163" max="13407" width="11.42578125" style="2"/>
    <col min="13408" max="13408" width="2.5703125" style="2" customWidth="1"/>
    <col min="13409" max="13409" width="13.42578125" style="2" bestFit="1" customWidth="1"/>
    <col min="13410" max="13410" width="6.7109375" style="2" customWidth="1"/>
    <col min="13411" max="13411" width="14.7109375" style="2" customWidth="1"/>
    <col min="13412" max="13412" width="4.85546875" style="2" bestFit="1" customWidth="1"/>
    <col min="13413" max="13413" width="7.7109375" style="2" customWidth="1"/>
    <col min="13414" max="13414" width="3.85546875" style="2" customWidth="1"/>
    <col min="13415" max="13415" width="11.42578125" style="2"/>
    <col min="13416" max="13416" width="13.42578125" style="2" bestFit="1" customWidth="1"/>
    <col min="13417" max="13417" width="7.7109375" style="2" customWidth="1"/>
    <col min="13418" max="13418" width="5.140625" style="2" customWidth="1"/>
    <col min="13419" max="13663" width="11.42578125" style="2"/>
    <col min="13664" max="13664" width="2.5703125" style="2" customWidth="1"/>
    <col min="13665" max="13665" width="13.42578125" style="2" bestFit="1" customWidth="1"/>
    <col min="13666" max="13666" width="6.7109375" style="2" customWidth="1"/>
    <col min="13667" max="13667" width="14.7109375" style="2" customWidth="1"/>
    <col min="13668" max="13668" width="4.85546875" style="2" bestFit="1" customWidth="1"/>
    <col min="13669" max="13669" width="7.7109375" style="2" customWidth="1"/>
    <col min="13670" max="13670" width="3.85546875" style="2" customWidth="1"/>
    <col min="13671" max="13671" width="11.42578125" style="2"/>
    <col min="13672" max="13672" width="13.42578125" style="2" bestFit="1" customWidth="1"/>
    <col min="13673" max="13673" width="7.7109375" style="2" customWidth="1"/>
    <col min="13674" max="13674" width="5.140625" style="2" customWidth="1"/>
    <col min="13675" max="13919" width="11.42578125" style="2"/>
    <col min="13920" max="13920" width="2.5703125" style="2" customWidth="1"/>
    <col min="13921" max="13921" width="13.42578125" style="2" bestFit="1" customWidth="1"/>
    <col min="13922" max="13922" width="6.7109375" style="2" customWidth="1"/>
    <col min="13923" max="13923" width="14.7109375" style="2" customWidth="1"/>
    <col min="13924" max="13924" width="4.85546875" style="2" bestFit="1" customWidth="1"/>
    <col min="13925" max="13925" width="7.7109375" style="2" customWidth="1"/>
    <col min="13926" max="13926" width="3.85546875" style="2" customWidth="1"/>
    <col min="13927" max="13927" width="11.42578125" style="2"/>
    <col min="13928" max="13928" width="13.42578125" style="2" bestFit="1" customWidth="1"/>
    <col min="13929" max="13929" width="7.7109375" style="2" customWidth="1"/>
    <col min="13930" max="13930" width="5.140625" style="2" customWidth="1"/>
    <col min="13931" max="14175" width="11.42578125" style="2"/>
    <col min="14176" max="14176" width="2.5703125" style="2" customWidth="1"/>
    <col min="14177" max="14177" width="13.42578125" style="2" bestFit="1" customWidth="1"/>
    <col min="14178" max="14178" width="6.7109375" style="2" customWidth="1"/>
    <col min="14179" max="14179" width="14.7109375" style="2" customWidth="1"/>
    <col min="14180" max="14180" width="4.85546875" style="2" bestFit="1" customWidth="1"/>
    <col min="14181" max="14181" width="7.7109375" style="2" customWidth="1"/>
    <col min="14182" max="14182" width="3.85546875" style="2" customWidth="1"/>
    <col min="14183" max="14183" width="11.42578125" style="2"/>
    <col min="14184" max="14184" width="13.42578125" style="2" bestFit="1" customWidth="1"/>
    <col min="14185" max="14185" width="7.7109375" style="2" customWidth="1"/>
    <col min="14186" max="14186" width="5.140625" style="2" customWidth="1"/>
    <col min="14187" max="14431" width="11.42578125" style="2"/>
    <col min="14432" max="14432" width="2.5703125" style="2" customWidth="1"/>
    <col min="14433" max="14433" width="13.42578125" style="2" bestFit="1" customWidth="1"/>
    <col min="14434" max="14434" width="6.7109375" style="2" customWidth="1"/>
    <col min="14435" max="14435" width="14.7109375" style="2" customWidth="1"/>
    <col min="14436" max="14436" width="4.85546875" style="2" bestFit="1" customWidth="1"/>
    <col min="14437" max="14437" width="7.7109375" style="2" customWidth="1"/>
    <col min="14438" max="14438" width="3.85546875" style="2" customWidth="1"/>
    <col min="14439" max="14439" width="11.42578125" style="2"/>
    <col min="14440" max="14440" width="13.42578125" style="2" bestFit="1" customWidth="1"/>
    <col min="14441" max="14441" width="7.7109375" style="2" customWidth="1"/>
    <col min="14442" max="14442" width="5.140625" style="2" customWidth="1"/>
    <col min="14443" max="14687" width="11.42578125" style="2"/>
    <col min="14688" max="14688" width="2.5703125" style="2" customWidth="1"/>
    <col min="14689" max="14689" width="13.42578125" style="2" bestFit="1" customWidth="1"/>
    <col min="14690" max="14690" width="6.7109375" style="2" customWidth="1"/>
    <col min="14691" max="14691" width="14.7109375" style="2" customWidth="1"/>
    <col min="14692" max="14692" width="4.85546875" style="2" bestFit="1" customWidth="1"/>
    <col min="14693" max="14693" width="7.7109375" style="2" customWidth="1"/>
    <col min="14694" max="14694" width="3.85546875" style="2" customWidth="1"/>
    <col min="14695" max="14695" width="11.42578125" style="2"/>
    <col min="14696" max="14696" width="13.42578125" style="2" bestFit="1" customWidth="1"/>
    <col min="14697" max="14697" width="7.7109375" style="2" customWidth="1"/>
    <col min="14698" max="14698" width="5.140625" style="2" customWidth="1"/>
    <col min="14699" max="14943" width="11.42578125" style="2"/>
    <col min="14944" max="14944" width="2.5703125" style="2" customWidth="1"/>
    <col min="14945" max="14945" width="13.42578125" style="2" bestFit="1" customWidth="1"/>
    <col min="14946" max="14946" width="6.7109375" style="2" customWidth="1"/>
    <col min="14947" max="14947" width="14.7109375" style="2" customWidth="1"/>
    <col min="14948" max="14948" width="4.85546875" style="2" bestFit="1" customWidth="1"/>
    <col min="14949" max="14949" width="7.7109375" style="2" customWidth="1"/>
    <col min="14950" max="14950" width="3.85546875" style="2" customWidth="1"/>
    <col min="14951" max="14951" width="11.42578125" style="2"/>
    <col min="14952" max="14952" width="13.42578125" style="2" bestFit="1" customWidth="1"/>
    <col min="14953" max="14953" width="7.7109375" style="2" customWidth="1"/>
    <col min="14954" max="14954" width="5.140625" style="2" customWidth="1"/>
    <col min="14955" max="15199" width="11.42578125" style="2"/>
    <col min="15200" max="15200" width="2.5703125" style="2" customWidth="1"/>
    <col min="15201" max="15201" width="13.42578125" style="2" bestFit="1" customWidth="1"/>
    <col min="15202" max="15202" width="6.7109375" style="2" customWidth="1"/>
    <col min="15203" max="15203" width="14.7109375" style="2" customWidth="1"/>
    <col min="15204" max="15204" width="4.85546875" style="2" bestFit="1" customWidth="1"/>
    <col min="15205" max="15205" width="7.7109375" style="2" customWidth="1"/>
    <col min="15206" max="15206" width="3.85546875" style="2" customWidth="1"/>
    <col min="15207" max="15207" width="11.42578125" style="2"/>
    <col min="15208" max="15208" width="13.42578125" style="2" bestFit="1" customWidth="1"/>
    <col min="15209" max="15209" width="7.7109375" style="2" customWidth="1"/>
    <col min="15210" max="15210" width="5.140625" style="2" customWidth="1"/>
    <col min="15211" max="15455" width="11.42578125" style="2"/>
    <col min="15456" max="15456" width="2.5703125" style="2" customWidth="1"/>
    <col min="15457" max="15457" width="13.42578125" style="2" bestFit="1" customWidth="1"/>
    <col min="15458" max="15458" width="6.7109375" style="2" customWidth="1"/>
    <col min="15459" max="15459" width="14.7109375" style="2" customWidth="1"/>
    <col min="15460" max="15460" width="4.85546875" style="2" bestFit="1" customWidth="1"/>
    <col min="15461" max="15461" width="7.7109375" style="2" customWidth="1"/>
    <col min="15462" max="15462" width="3.85546875" style="2" customWidth="1"/>
    <col min="15463" max="15463" width="11.42578125" style="2"/>
    <col min="15464" max="15464" width="13.42578125" style="2" bestFit="1" customWidth="1"/>
    <col min="15465" max="15465" width="7.7109375" style="2" customWidth="1"/>
    <col min="15466" max="15466" width="5.140625" style="2" customWidth="1"/>
    <col min="15467" max="15711" width="11.42578125" style="2"/>
    <col min="15712" max="15712" width="2.5703125" style="2" customWidth="1"/>
    <col min="15713" max="15713" width="13.42578125" style="2" bestFit="1" customWidth="1"/>
    <col min="15714" max="15714" width="6.7109375" style="2" customWidth="1"/>
    <col min="15715" max="15715" width="14.7109375" style="2" customWidth="1"/>
    <col min="15716" max="15716" width="4.85546875" style="2" bestFit="1" customWidth="1"/>
    <col min="15717" max="15717" width="7.7109375" style="2" customWidth="1"/>
    <col min="15718" max="15718" width="3.85546875" style="2" customWidth="1"/>
    <col min="15719" max="15719" width="11.42578125" style="2"/>
    <col min="15720" max="15720" width="13.42578125" style="2" bestFit="1" customWidth="1"/>
    <col min="15721" max="15721" width="7.7109375" style="2" customWidth="1"/>
    <col min="15722" max="15722" width="5.140625" style="2" customWidth="1"/>
    <col min="15723" max="15967" width="11.42578125" style="2"/>
    <col min="15968" max="15968" width="2.5703125" style="2" customWidth="1"/>
    <col min="15969" max="15969" width="13.42578125" style="2" bestFit="1" customWidth="1"/>
    <col min="15970" max="15970" width="6.7109375" style="2" customWidth="1"/>
    <col min="15971" max="15971" width="14.7109375" style="2" customWidth="1"/>
    <col min="15972" max="15972" width="4.85546875" style="2" bestFit="1" customWidth="1"/>
    <col min="15973" max="15973" width="7.7109375" style="2" customWidth="1"/>
    <col min="15974" max="15974" width="3.85546875" style="2" customWidth="1"/>
    <col min="15975" max="15975" width="11.42578125" style="2"/>
    <col min="15976" max="15976" width="13.42578125" style="2" bestFit="1" customWidth="1"/>
    <col min="15977" max="15977" width="7.7109375" style="2" customWidth="1"/>
    <col min="15978" max="15978" width="5.140625" style="2" customWidth="1"/>
    <col min="15979" max="16384" width="11.42578125" style="2"/>
  </cols>
  <sheetData>
    <row r="1" spans="3:15" ht="78" customHeight="1" thickBot="1" x14ac:dyDescent="0.3">
      <c r="C1" s="1"/>
      <c r="D1" s="370" t="s">
        <v>203</v>
      </c>
      <c r="E1" s="371"/>
      <c r="F1" s="371"/>
      <c r="G1" s="371"/>
      <c r="H1" s="371"/>
      <c r="I1" s="372"/>
      <c r="J1" s="373"/>
      <c r="K1" s="373"/>
      <c r="L1" s="374"/>
    </row>
    <row r="2" spans="3:15" ht="0.75" customHeight="1" thickBot="1" x14ac:dyDescent="0.3">
      <c r="C2" s="1"/>
      <c r="D2" s="80"/>
      <c r="E2" s="80"/>
      <c r="F2" s="80"/>
      <c r="G2" s="80"/>
      <c r="H2" s="80"/>
      <c r="I2" s="80"/>
      <c r="J2" s="82"/>
      <c r="K2" s="82"/>
      <c r="L2" s="61"/>
    </row>
    <row r="3" spans="3:15" ht="15.75" customHeight="1" thickBot="1" x14ac:dyDescent="0.25">
      <c r="C3" s="375" t="s">
        <v>0</v>
      </c>
      <c r="D3" s="244"/>
      <c r="E3" s="244"/>
      <c r="F3" s="244"/>
      <c r="G3" s="244"/>
      <c r="H3" s="244"/>
      <c r="I3" s="244"/>
      <c r="J3" s="505" t="s">
        <v>1</v>
      </c>
      <c r="K3" s="506"/>
      <c r="L3" s="509">
        <v>177</v>
      </c>
      <c r="N3" s="85" t="s">
        <v>113</v>
      </c>
      <c r="O3" s="86">
        <v>165</v>
      </c>
    </row>
    <row r="4" spans="3:15" ht="15.75" customHeight="1" thickBot="1" x14ac:dyDescent="0.25">
      <c r="C4" s="375" t="s">
        <v>161</v>
      </c>
      <c r="D4" s="244"/>
      <c r="E4" s="244"/>
      <c r="F4" s="244"/>
      <c r="G4" s="244"/>
      <c r="H4" s="244"/>
      <c r="I4" s="244"/>
      <c r="J4" s="507"/>
      <c r="K4" s="508"/>
      <c r="L4" s="510"/>
      <c r="N4" s="84" t="s">
        <v>114</v>
      </c>
      <c r="O4" s="83">
        <v>180</v>
      </c>
    </row>
    <row r="5" spans="3:15" ht="12.75" customHeight="1" x14ac:dyDescent="0.2">
      <c r="C5" s="185" t="s">
        <v>56</v>
      </c>
      <c r="D5" s="186"/>
      <c r="E5" s="381" t="s">
        <v>2</v>
      </c>
      <c r="F5" s="382"/>
      <c r="G5" s="496" t="s">
        <v>68</v>
      </c>
      <c r="H5" s="497"/>
      <c r="I5" s="497"/>
      <c r="J5" s="497"/>
      <c r="K5" s="497"/>
      <c r="L5" s="498"/>
    </row>
    <row r="6" spans="3:15" x14ac:dyDescent="0.2">
      <c r="C6" s="379"/>
      <c r="D6" s="380"/>
      <c r="E6" s="285"/>
      <c r="F6" s="287"/>
      <c r="G6" s="386"/>
      <c r="H6" s="387"/>
      <c r="I6" s="387"/>
      <c r="J6" s="387"/>
      <c r="K6" s="387"/>
      <c r="L6" s="388"/>
    </row>
    <row r="7" spans="3:15" ht="14.25" customHeight="1" x14ac:dyDescent="0.2">
      <c r="C7" s="162" t="s">
        <v>3</v>
      </c>
      <c r="D7" s="499" t="str">
        <f>VLOOKUP(L3,[1]PMP_2025!$C$174:$R$353,4,FALSE)</f>
        <v>UPC Pediátrica</v>
      </c>
      <c r="E7" s="500"/>
      <c r="F7" s="500"/>
      <c r="G7" s="500"/>
      <c r="H7" s="500"/>
      <c r="I7" s="501"/>
      <c r="J7" s="163" t="s">
        <v>81</v>
      </c>
      <c r="K7" s="352" t="str">
        <f>VLOOKUP(L3,[1]PMP_2025!$C$174:$R$353,10,FALSE)</f>
        <v>YH830-V24C35011</v>
      </c>
      <c r="L7" s="420"/>
      <c r="O7" s="58"/>
    </row>
    <row r="8" spans="3:15" ht="14.25" customHeight="1" x14ac:dyDescent="0.2">
      <c r="C8" s="162" t="s">
        <v>58</v>
      </c>
      <c r="D8" s="499" t="str">
        <f>VLOOKUP(L3,[1]PMP_2025!$C$174:$R$353,3,FALSE)</f>
        <v xml:space="preserve">Ventilador Mecánico </v>
      </c>
      <c r="E8" s="500"/>
      <c r="F8" s="500"/>
      <c r="G8" s="500"/>
      <c r="H8" s="500"/>
      <c r="I8" s="501"/>
      <c r="J8" s="163" t="s">
        <v>6</v>
      </c>
      <c r="K8" s="352" t="str">
        <f>VLOOKUP(L3,[1]PMP_2025!$C$174:$R$353,2,FALSE)</f>
        <v>2-134627</v>
      </c>
      <c r="L8" s="420"/>
    </row>
    <row r="9" spans="3:15" ht="14.25" customHeight="1" thickBot="1" x14ac:dyDescent="0.25">
      <c r="C9" s="164" t="s">
        <v>4</v>
      </c>
      <c r="D9" s="352" t="str">
        <f>VLOOKUP(L3,[1]PMP_2025!$C$174:$R$353,8,FALSE)</f>
        <v>Yuwell</v>
      </c>
      <c r="E9" s="353"/>
      <c r="F9" s="502" t="s">
        <v>5</v>
      </c>
      <c r="G9" s="502"/>
      <c r="H9" s="352" t="str">
        <f>VLOOKUP(L3,[1]PMP_2025!$C$174:$R$353,9,FALSE)</f>
        <v>YH-830</v>
      </c>
      <c r="I9" s="353"/>
      <c r="J9" s="165" t="s">
        <v>8</v>
      </c>
      <c r="K9" s="503"/>
      <c r="L9" s="504"/>
    </row>
    <row r="10" spans="3:15" ht="14.25" customHeight="1" thickBot="1" x14ac:dyDescent="0.3">
      <c r="C10" s="418" t="s">
        <v>61</v>
      </c>
      <c r="D10" s="244"/>
      <c r="E10" s="244"/>
      <c r="F10" s="244"/>
      <c r="G10" s="244"/>
      <c r="H10" s="244"/>
      <c r="I10" s="244"/>
      <c r="J10" s="244"/>
      <c r="K10" s="244"/>
      <c r="L10" s="245"/>
    </row>
    <row r="11" spans="3:15" ht="14.25" customHeight="1" x14ac:dyDescent="0.2">
      <c r="C11" s="246" t="s">
        <v>10</v>
      </c>
      <c r="D11" s="247"/>
      <c r="E11" s="248"/>
      <c r="F11" s="225" t="s">
        <v>11</v>
      </c>
      <c r="G11" s="225"/>
      <c r="H11" s="225"/>
      <c r="I11" s="258" t="s">
        <v>12</v>
      </c>
      <c r="J11" s="258"/>
      <c r="K11" s="258"/>
      <c r="L11" s="260"/>
    </row>
    <row r="12" spans="3:15" ht="14.25" customHeight="1" x14ac:dyDescent="0.2">
      <c r="C12" s="492" t="s">
        <v>82</v>
      </c>
      <c r="D12" s="201"/>
      <c r="E12" s="201"/>
      <c r="F12" s="10" t="s">
        <v>14</v>
      </c>
      <c r="G12" s="10" t="s">
        <v>15</v>
      </c>
      <c r="H12" s="10" t="s">
        <v>16</v>
      </c>
      <c r="I12" s="188"/>
      <c r="J12" s="188"/>
      <c r="K12" s="188"/>
      <c r="L12" s="189"/>
    </row>
    <row r="13" spans="3:15" ht="14.25" customHeight="1" x14ac:dyDescent="0.2">
      <c r="C13" s="200" t="s">
        <v>83</v>
      </c>
      <c r="D13" s="201"/>
      <c r="E13" s="201"/>
      <c r="F13" s="3"/>
      <c r="G13" s="3"/>
      <c r="H13" s="10"/>
      <c r="I13" s="188"/>
      <c r="J13" s="188"/>
      <c r="K13" s="188"/>
      <c r="L13" s="189"/>
    </row>
    <row r="14" spans="3:15" ht="14.25" customHeight="1" x14ac:dyDescent="0.2">
      <c r="C14" s="200" t="s">
        <v>84</v>
      </c>
      <c r="D14" s="201"/>
      <c r="E14" s="201"/>
      <c r="F14" s="3"/>
      <c r="G14" s="3"/>
      <c r="H14" s="10"/>
      <c r="I14" s="188"/>
      <c r="J14" s="188"/>
      <c r="K14" s="188"/>
      <c r="L14" s="189"/>
    </row>
    <row r="15" spans="3:15" ht="14.25" customHeight="1" x14ac:dyDescent="0.2">
      <c r="C15" s="492" t="s">
        <v>85</v>
      </c>
      <c r="D15" s="201"/>
      <c r="E15" s="201"/>
      <c r="F15" s="10" t="s">
        <v>14</v>
      </c>
      <c r="G15" s="10" t="s">
        <v>15</v>
      </c>
      <c r="H15" s="10" t="s">
        <v>16</v>
      </c>
      <c r="I15" s="188"/>
      <c r="J15" s="188"/>
      <c r="K15" s="188"/>
      <c r="L15" s="189"/>
    </row>
    <row r="16" spans="3:15" ht="14.25" customHeight="1" x14ac:dyDescent="0.2">
      <c r="C16" s="493" t="s">
        <v>126</v>
      </c>
      <c r="D16" s="494"/>
      <c r="E16" s="495"/>
      <c r="F16" s="10"/>
      <c r="G16" s="10"/>
      <c r="H16" s="10"/>
      <c r="I16" s="229"/>
      <c r="J16" s="308"/>
      <c r="K16" s="308"/>
      <c r="L16" s="309"/>
    </row>
    <row r="17" spans="3:12" ht="14.25" customHeight="1" x14ac:dyDescent="0.2">
      <c r="C17" s="200" t="s">
        <v>127</v>
      </c>
      <c r="D17" s="201"/>
      <c r="E17" s="201"/>
      <c r="F17" s="3"/>
      <c r="G17" s="3"/>
      <c r="H17" s="10"/>
      <c r="I17" s="188"/>
      <c r="J17" s="188"/>
      <c r="K17" s="188"/>
      <c r="L17" s="189"/>
    </row>
    <row r="18" spans="3:12" ht="14.25" customHeight="1" x14ac:dyDescent="0.2">
      <c r="C18" s="200" t="s">
        <v>159</v>
      </c>
      <c r="D18" s="201"/>
      <c r="E18" s="201"/>
      <c r="F18" s="3"/>
      <c r="G18" s="3"/>
      <c r="H18" s="10"/>
      <c r="I18" s="188"/>
      <c r="J18" s="188"/>
      <c r="K18" s="188"/>
      <c r="L18" s="189"/>
    </row>
    <row r="19" spans="3:12" ht="14.25" customHeight="1" x14ac:dyDescent="0.2">
      <c r="C19" s="488" t="s">
        <v>165</v>
      </c>
      <c r="D19" s="489"/>
      <c r="E19" s="489"/>
      <c r="F19" s="3"/>
      <c r="G19" s="3"/>
      <c r="H19" s="10"/>
      <c r="I19" s="188"/>
      <c r="J19" s="188"/>
      <c r="K19" s="188"/>
      <c r="L19" s="189"/>
    </row>
    <row r="20" spans="3:12" ht="14.25" customHeight="1" x14ac:dyDescent="0.2">
      <c r="C20" s="490" t="s">
        <v>86</v>
      </c>
      <c r="D20" s="491"/>
      <c r="E20" s="414"/>
      <c r="F20" s="10" t="s">
        <v>14</v>
      </c>
      <c r="G20" s="10" t="s">
        <v>15</v>
      </c>
      <c r="H20" s="10" t="s">
        <v>16</v>
      </c>
      <c r="I20" s="483"/>
      <c r="J20" s="323"/>
      <c r="K20" s="323"/>
      <c r="L20" s="410"/>
    </row>
    <row r="21" spans="3:12" ht="14.25" customHeight="1" thickBot="1" x14ac:dyDescent="0.25">
      <c r="C21" s="202" t="s">
        <v>87</v>
      </c>
      <c r="D21" s="203"/>
      <c r="E21" s="203"/>
      <c r="F21" s="69"/>
      <c r="G21" s="70"/>
      <c r="H21" s="103"/>
      <c r="I21" s="390"/>
      <c r="J21" s="485"/>
      <c r="K21" s="485"/>
      <c r="L21" s="486"/>
    </row>
    <row r="22" spans="3:12" ht="14.25" customHeight="1" thickBot="1" x14ac:dyDescent="0.25">
      <c r="C22" s="375" t="s">
        <v>34</v>
      </c>
      <c r="D22" s="244"/>
      <c r="E22" s="244"/>
      <c r="F22" s="244"/>
      <c r="G22" s="244"/>
      <c r="H22" s="244"/>
      <c r="I22" s="244"/>
      <c r="J22" s="244"/>
      <c r="K22" s="244"/>
      <c r="L22" s="245"/>
    </row>
    <row r="23" spans="3:12" ht="14.25" customHeight="1" x14ac:dyDescent="0.2">
      <c r="C23" s="316" t="s">
        <v>88</v>
      </c>
      <c r="D23" s="487"/>
      <c r="E23" s="487"/>
      <c r="F23" s="225" t="s">
        <v>37</v>
      </c>
      <c r="G23" s="225"/>
      <c r="H23" s="11" t="s">
        <v>16</v>
      </c>
      <c r="I23" s="258" t="s">
        <v>12</v>
      </c>
      <c r="J23" s="258"/>
      <c r="K23" s="258"/>
      <c r="L23" s="260"/>
    </row>
    <row r="24" spans="3:12" ht="14.25" customHeight="1" x14ac:dyDescent="0.2">
      <c r="C24" s="190" t="s">
        <v>116</v>
      </c>
      <c r="D24" s="215"/>
      <c r="E24" s="216"/>
      <c r="F24" s="229"/>
      <c r="G24" s="409"/>
      <c r="H24" s="71"/>
      <c r="I24" s="262"/>
      <c r="J24" s="421"/>
      <c r="K24" s="421"/>
      <c r="L24" s="484"/>
    </row>
    <row r="25" spans="3:12" ht="14.25" customHeight="1" x14ac:dyDescent="0.2">
      <c r="C25" s="200" t="s">
        <v>115</v>
      </c>
      <c r="D25" s="201"/>
      <c r="E25" s="201"/>
      <c r="F25" s="265"/>
      <c r="G25" s="265"/>
      <c r="H25" s="6"/>
      <c r="I25" s="229"/>
      <c r="J25" s="308"/>
      <c r="K25" s="308"/>
      <c r="L25" s="309"/>
    </row>
    <row r="26" spans="3:12" ht="14.25" customHeight="1" x14ac:dyDescent="0.2">
      <c r="C26" s="200" t="s">
        <v>118</v>
      </c>
      <c r="D26" s="201"/>
      <c r="E26" s="201"/>
      <c r="F26" s="483"/>
      <c r="G26" s="324"/>
      <c r="H26" s="6"/>
      <c r="I26" s="229"/>
      <c r="J26" s="308"/>
      <c r="K26" s="308"/>
      <c r="L26" s="309"/>
    </row>
    <row r="27" spans="3:12" ht="14.25" customHeight="1" x14ac:dyDescent="0.2">
      <c r="C27" s="482" t="s">
        <v>208</v>
      </c>
      <c r="D27" s="277"/>
      <c r="E27" s="277"/>
      <c r="F27" s="265"/>
      <c r="G27" s="265"/>
      <c r="H27" s="6"/>
      <c r="I27" s="229"/>
      <c r="J27" s="308"/>
      <c r="K27" s="308"/>
      <c r="L27" s="309"/>
    </row>
    <row r="28" spans="3:12" ht="14.25" customHeight="1" thickBot="1" x14ac:dyDescent="0.25">
      <c r="C28" s="190" t="s">
        <v>209</v>
      </c>
      <c r="D28" s="215"/>
      <c r="E28" s="216"/>
      <c r="F28" s="265"/>
      <c r="G28" s="265"/>
      <c r="H28" s="6"/>
      <c r="I28" s="229"/>
      <c r="J28" s="308"/>
      <c r="K28" s="308"/>
      <c r="L28" s="309"/>
    </row>
    <row r="29" spans="3:12" ht="15" customHeight="1" x14ac:dyDescent="0.2">
      <c r="C29" s="191" t="s">
        <v>92</v>
      </c>
      <c r="D29" s="193"/>
      <c r="E29" s="463" t="s">
        <v>117</v>
      </c>
      <c r="F29" s="466" t="s">
        <v>40</v>
      </c>
      <c r="G29" s="467"/>
      <c r="H29" s="470"/>
      <c r="I29" s="472"/>
      <c r="J29" s="225"/>
      <c r="K29" s="225"/>
      <c r="L29" s="249"/>
    </row>
    <row r="30" spans="3:12" ht="15" customHeight="1" thickBot="1" x14ac:dyDescent="0.25">
      <c r="C30" s="194"/>
      <c r="D30" s="196"/>
      <c r="E30" s="464"/>
      <c r="F30" s="468"/>
      <c r="G30" s="469"/>
      <c r="H30" s="471"/>
      <c r="I30" s="408"/>
      <c r="J30" s="188"/>
      <c r="K30" s="188"/>
      <c r="L30" s="189"/>
    </row>
    <row r="31" spans="3:12" ht="15" customHeight="1" x14ac:dyDescent="0.2">
      <c r="C31" s="194"/>
      <c r="D31" s="196"/>
      <c r="E31" s="464"/>
      <c r="F31" s="473" t="s">
        <v>162</v>
      </c>
      <c r="G31" s="474"/>
      <c r="H31" s="476"/>
      <c r="I31" s="408"/>
      <c r="J31" s="188"/>
      <c r="K31" s="188"/>
      <c r="L31" s="189"/>
    </row>
    <row r="32" spans="3:12" ht="15" customHeight="1" thickBot="1" x14ac:dyDescent="0.25">
      <c r="C32" s="194"/>
      <c r="D32" s="196"/>
      <c r="E32" s="465"/>
      <c r="F32" s="475"/>
      <c r="G32" s="469"/>
      <c r="H32" s="477"/>
      <c r="I32" s="478"/>
      <c r="J32" s="231"/>
      <c r="K32" s="231"/>
      <c r="L32" s="233"/>
    </row>
    <row r="33" spans="3:12" ht="15" customHeight="1" x14ac:dyDescent="0.2">
      <c r="C33" s="194"/>
      <c r="D33" s="196"/>
      <c r="E33" s="479" t="s">
        <v>207</v>
      </c>
      <c r="F33" s="191" t="s">
        <v>199</v>
      </c>
      <c r="G33" s="192"/>
      <c r="H33" s="192"/>
      <c r="I33" s="193"/>
      <c r="J33" s="195" t="s">
        <v>93</v>
      </c>
      <c r="K33" s="195"/>
      <c r="L33" s="196"/>
    </row>
    <row r="34" spans="3:12" ht="15" customHeight="1" x14ac:dyDescent="0.2">
      <c r="C34" s="194"/>
      <c r="D34" s="196"/>
      <c r="E34" s="480"/>
      <c r="F34" s="194"/>
      <c r="G34" s="195"/>
      <c r="H34" s="195"/>
      <c r="I34" s="196"/>
      <c r="J34" s="195"/>
      <c r="K34" s="195"/>
      <c r="L34" s="196"/>
    </row>
    <row r="35" spans="3:12" ht="15" customHeight="1" x14ac:dyDescent="0.2">
      <c r="C35" s="194"/>
      <c r="D35" s="196"/>
      <c r="E35" s="480"/>
      <c r="F35" s="194"/>
      <c r="G35" s="195"/>
      <c r="H35" s="195"/>
      <c r="I35" s="196"/>
      <c r="J35" s="195"/>
      <c r="K35" s="195"/>
      <c r="L35" s="196"/>
    </row>
    <row r="36" spans="3:12" ht="15" customHeight="1" x14ac:dyDescent="0.2">
      <c r="C36" s="194"/>
      <c r="D36" s="196"/>
      <c r="E36" s="480"/>
      <c r="F36" s="194"/>
      <c r="G36" s="195"/>
      <c r="H36" s="195"/>
      <c r="I36" s="196"/>
      <c r="J36" s="195"/>
      <c r="K36" s="195"/>
      <c r="L36" s="196"/>
    </row>
    <row r="37" spans="3:12" ht="15" customHeight="1" x14ac:dyDescent="0.2">
      <c r="C37" s="194"/>
      <c r="D37" s="196"/>
      <c r="E37" s="480"/>
      <c r="F37" s="194"/>
      <c r="G37" s="195"/>
      <c r="H37" s="195"/>
      <c r="I37" s="196"/>
      <c r="J37" s="195"/>
      <c r="K37" s="195"/>
      <c r="L37" s="196"/>
    </row>
    <row r="38" spans="3:12" ht="15.75" customHeight="1" thickBot="1" x14ac:dyDescent="0.25">
      <c r="C38" s="197"/>
      <c r="D38" s="199"/>
      <c r="E38" s="481"/>
      <c r="F38" s="197"/>
      <c r="G38" s="198"/>
      <c r="H38" s="198"/>
      <c r="I38" s="199"/>
      <c r="J38" s="198"/>
      <c r="K38" s="198"/>
      <c r="L38" s="199"/>
    </row>
  </sheetData>
  <mergeCells count="73">
    <mergeCell ref="D1:I1"/>
    <mergeCell ref="J1:L1"/>
    <mergeCell ref="C3:I3"/>
    <mergeCell ref="J3:K4"/>
    <mergeCell ref="L3:L4"/>
    <mergeCell ref="C4:I4"/>
    <mergeCell ref="C11:E11"/>
    <mergeCell ref="F11:H11"/>
    <mergeCell ref="I11:L11"/>
    <mergeCell ref="C5:D6"/>
    <mergeCell ref="E5:F6"/>
    <mergeCell ref="G5:L6"/>
    <mergeCell ref="D7:I7"/>
    <mergeCell ref="K7:L7"/>
    <mergeCell ref="D8:I8"/>
    <mergeCell ref="K8:L8"/>
    <mergeCell ref="D9:E9"/>
    <mergeCell ref="F9:G9"/>
    <mergeCell ref="H9:I9"/>
    <mergeCell ref="K9:L9"/>
    <mergeCell ref="C10:L10"/>
    <mergeCell ref="C12:E12"/>
    <mergeCell ref="I12:L12"/>
    <mergeCell ref="C13:E13"/>
    <mergeCell ref="I13:L13"/>
    <mergeCell ref="C14:E14"/>
    <mergeCell ref="I14:L14"/>
    <mergeCell ref="C15:E15"/>
    <mergeCell ref="I15:L15"/>
    <mergeCell ref="C16:E16"/>
    <mergeCell ref="I16:L16"/>
    <mergeCell ref="C17:E17"/>
    <mergeCell ref="I17:L17"/>
    <mergeCell ref="C18:E18"/>
    <mergeCell ref="I18:L18"/>
    <mergeCell ref="C19:E19"/>
    <mergeCell ref="I19:L19"/>
    <mergeCell ref="C20:E20"/>
    <mergeCell ref="I20:L20"/>
    <mergeCell ref="C21:E21"/>
    <mergeCell ref="I21:L21"/>
    <mergeCell ref="C22:L22"/>
    <mergeCell ref="C23:E23"/>
    <mergeCell ref="F23:G23"/>
    <mergeCell ref="I23:L23"/>
    <mergeCell ref="C26:E26"/>
    <mergeCell ref="F26:G26"/>
    <mergeCell ref="I26:L26"/>
    <mergeCell ref="C24:E24"/>
    <mergeCell ref="F24:G24"/>
    <mergeCell ref="I24:L24"/>
    <mergeCell ref="C25:E25"/>
    <mergeCell ref="F25:G25"/>
    <mergeCell ref="I25:L25"/>
    <mergeCell ref="C27:E27"/>
    <mergeCell ref="F27:G27"/>
    <mergeCell ref="I27:L27"/>
    <mergeCell ref="C28:E28"/>
    <mergeCell ref="F28:G28"/>
    <mergeCell ref="I28:L28"/>
    <mergeCell ref="C29:D38"/>
    <mergeCell ref="E29:E32"/>
    <mergeCell ref="F29:G30"/>
    <mergeCell ref="H29:H30"/>
    <mergeCell ref="I29:L29"/>
    <mergeCell ref="I30:L30"/>
    <mergeCell ref="F31:G32"/>
    <mergeCell ref="H31:H32"/>
    <mergeCell ref="I31:L31"/>
    <mergeCell ref="I32:L32"/>
    <mergeCell ref="E33:E38"/>
    <mergeCell ref="F33:I38"/>
    <mergeCell ref="J33:L38"/>
  </mergeCells>
  <conditionalFormatting sqref="D7:I8 K7:L8 H9:I9 D9:E9">
    <cfRule type="cellIs" priority="2" operator="equal">
      <formula>0</formula>
    </cfRule>
  </conditionalFormatting>
  <conditionalFormatting sqref="D7:I8 K7:L8 H9:I9 D9:E9">
    <cfRule type="cellIs" dxfId="4" priority="1" operator="equal">
      <formula>0</formula>
    </cfRule>
  </conditionalFormatting>
  <printOptions horizontalCentered="1"/>
  <pageMargins left="0.31496062992125984" right="0.11811023622047245" top="0.94488188976377963" bottom="0.74803149606299213" header="0.31496062992125984" footer="0.31496062992125984"/>
  <pageSetup scale="91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13</xdr:col>
                <xdr:colOff>323850</xdr:colOff>
                <xdr:row>5</xdr:row>
                <xdr:rowOff>19050</xdr:rowOff>
              </from>
              <to>
                <xdr:col>14</xdr:col>
                <xdr:colOff>485775</xdr:colOff>
                <xdr:row>6</xdr:row>
                <xdr:rowOff>123825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9">
    <tabColor rgb="FF00B050"/>
    <pageSetUpPr fitToPage="1"/>
  </sheetPr>
  <dimension ref="C1:O38"/>
  <sheetViews>
    <sheetView zoomScaleNormal="100" workbookViewId="0">
      <selection activeCell="G5" sqref="G5:L6"/>
    </sheetView>
  </sheetViews>
  <sheetFormatPr baseColWidth="10" defaultRowHeight="12.75" x14ac:dyDescent="0.2"/>
  <cols>
    <col min="1" max="1" width="0.5703125" style="2" customWidth="1"/>
    <col min="2" max="2" width="1.42578125" style="2" customWidth="1"/>
    <col min="3" max="3" width="13.42578125" style="2" bestFit="1" customWidth="1"/>
    <col min="4" max="4" width="6.7109375" style="2" customWidth="1"/>
    <col min="5" max="5" width="28.42578125" style="2" customWidth="1"/>
    <col min="6" max="8" width="6" style="2" customWidth="1"/>
    <col min="9" max="9" width="11.7109375" style="2" customWidth="1"/>
    <col min="10" max="10" width="12.7109375" style="2" customWidth="1"/>
    <col min="11" max="11" width="5.5703125" style="2" customWidth="1"/>
    <col min="12" max="12" width="7.85546875" style="2" customWidth="1"/>
    <col min="13" max="13" width="3.5703125" style="2" customWidth="1"/>
    <col min="14" max="14" width="7.28515625" style="2" customWidth="1"/>
    <col min="15" max="15" width="8" style="2" customWidth="1"/>
    <col min="16" max="16" width="4.85546875" style="2" bestFit="1" customWidth="1"/>
    <col min="17" max="17" width="7.7109375" style="2" customWidth="1"/>
    <col min="18" max="18" width="3.85546875" style="2" customWidth="1"/>
    <col min="19" max="19" width="11.42578125" style="2"/>
    <col min="20" max="20" width="13.42578125" style="2" bestFit="1" customWidth="1"/>
    <col min="21" max="21" width="7.7109375" style="2" customWidth="1"/>
    <col min="22" max="22" width="5.140625" style="2" customWidth="1"/>
    <col min="23" max="267" width="11.42578125" style="2"/>
    <col min="268" max="268" width="2.5703125" style="2" customWidth="1"/>
    <col min="269" max="269" width="13.42578125" style="2" bestFit="1" customWidth="1"/>
    <col min="270" max="270" width="6.7109375" style="2" customWidth="1"/>
    <col min="271" max="271" width="14.7109375" style="2" customWidth="1"/>
    <col min="272" max="272" width="4.85546875" style="2" bestFit="1" customWidth="1"/>
    <col min="273" max="273" width="7.7109375" style="2" customWidth="1"/>
    <col min="274" max="274" width="3.85546875" style="2" customWidth="1"/>
    <col min="275" max="275" width="11.42578125" style="2"/>
    <col min="276" max="276" width="13.42578125" style="2" bestFit="1" customWidth="1"/>
    <col min="277" max="277" width="7.7109375" style="2" customWidth="1"/>
    <col min="278" max="278" width="5.140625" style="2" customWidth="1"/>
    <col min="279" max="523" width="11.42578125" style="2"/>
    <col min="524" max="524" width="2.5703125" style="2" customWidth="1"/>
    <col min="525" max="525" width="13.42578125" style="2" bestFit="1" customWidth="1"/>
    <col min="526" max="526" width="6.7109375" style="2" customWidth="1"/>
    <col min="527" max="527" width="14.7109375" style="2" customWidth="1"/>
    <col min="528" max="528" width="4.85546875" style="2" bestFit="1" customWidth="1"/>
    <col min="529" max="529" width="7.7109375" style="2" customWidth="1"/>
    <col min="530" max="530" width="3.85546875" style="2" customWidth="1"/>
    <col min="531" max="531" width="11.42578125" style="2"/>
    <col min="532" max="532" width="13.42578125" style="2" bestFit="1" customWidth="1"/>
    <col min="533" max="533" width="7.7109375" style="2" customWidth="1"/>
    <col min="534" max="534" width="5.140625" style="2" customWidth="1"/>
    <col min="535" max="779" width="11.42578125" style="2"/>
    <col min="780" max="780" width="2.5703125" style="2" customWidth="1"/>
    <col min="781" max="781" width="13.42578125" style="2" bestFit="1" customWidth="1"/>
    <col min="782" max="782" width="6.7109375" style="2" customWidth="1"/>
    <col min="783" max="783" width="14.7109375" style="2" customWidth="1"/>
    <col min="784" max="784" width="4.85546875" style="2" bestFit="1" customWidth="1"/>
    <col min="785" max="785" width="7.7109375" style="2" customWidth="1"/>
    <col min="786" max="786" width="3.85546875" style="2" customWidth="1"/>
    <col min="787" max="787" width="11.42578125" style="2"/>
    <col min="788" max="788" width="13.42578125" style="2" bestFit="1" customWidth="1"/>
    <col min="789" max="789" width="7.7109375" style="2" customWidth="1"/>
    <col min="790" max="790" width="5.140625" style="2" customWidth="1"/>
    <col min="791" max="1035" width="11.42578125" style="2"/>
    <col min="1036" max="1036" width="2.5703125" style="2" customWidth="1"/>
    <col min="1037" max="1037" width="13.42578125" style="2" bestFit="1" customWidth="1"/>
    <col min="1038" max="1038" width="6.7109375" style="2" customWidth="1"/>
    <col min="1039" max="1039" width="14.7109375" style="2" customWidth="1"/>
    <col min="1040" max="1040" width="4.85546875" style="2" bestFit="1" customWidth="1"/>
    <col min="1041" max="1041" width="7.7109375" style="2" customWidth="1"/>
    <col min="1042" max="1042" width="3.85546875" style="2" customWidth="1"/>
    <col min="1043" max="1043" width="11.42578125" style="2"/>
    <col min="1044" max="1044" width="13.42578125" style="2" bestFit="1" customWidth="1"/>
    <col min="1045" max="1045" width="7.7109375" style="2" customWidth="1"/>
    <col min="1046" max="1046" width="5.140625" style="2" customWidth="1"/>
    <col min="1047" max="1291" width="11.42578125" style="2"/>
    <col min="1292" max="1292" width="2.5703125" style="2" customWidth="1"/>
    <col min="1293" max="1293" width="13.42578125" style="2" bestFit="1" customWidth="1"/>
    <col min="1294" max="1294" width="6.7109375" style="2" customWidth="1"/>
    <col min="1295" max="1295" width="14.7109375" style="2" customWidth="1"/>
    <col min="1296" max="1296" width="4.85546875" style="2" bestFit="1" customWidth="1"/>
    <col min="1297" max="1297" width="7.7109375" style="2" customWidth="1"/>
    <col min="1298" max="1298" width="3.85546875" style="2" customWidth="1"/>
    <col min="1299" max="1299" width="11.42578125" style="2"/>
    <col min="1300" max="1300" width="13.42578125" style="2" bestFit="1" customWidth="1"/>
    <col min="1301" max="1301" width="7.7109375" style="2" customWidth="1"/>
    <col min="1302" max="1302" width="5.140625" style="2" customWidth="1"/>
    <col min="1303" max="1547" width="11.42578125" style="2"/>
    <col min="1548" max="1548" width="2.5703125" style="2" customWidth="1"/>
    <col min="1549" max="1549" width="13.42578125" style="2" bestFit="1" customWidth="1"/>
    <col min="1550" max="1550" width="6.7109375" style="2" customWidth="1"/>
    <col min="1551" max="1551" width="14.7109375" style="2" customWidth="1"/>
    <col min="1552" max="1552" width="4.85546875" style="2" bestFit="1" customWidth="1"/>
    <col min="1553" max="1553" width="7.7109375" style="2" customWidth="1"/>
    <col min="1554" max="1554" width="3.85546875" style="2" customWidth="1"/>
    <col min="1555" max="1555" width="11.42578125" style="2"/>
    <col min="1556" max="1556" width="13.42578125" style="2" bestFit="1" customWidth="1"/>
    <col min="1557" max="1557" width="7.7109375" style="2" customWidth="1"/>
    <col min="1558" max="1558" width="5.140625" style="2" customWidth="1"/>
    <col min="1559" max="1803" width="11.42578125" style="2"/>
    <col min="1804" max="1804" width="2.5703125" style="2" customWidth="1"/>
    <col min="1805" max="1805" width="13.42578125" style="2" bestFit="1" customWidth="1"/>
    <col min="1806" max="1806" width="6.7109375" style="2" customWidth="1"/>
    <col min="1807" max="1807" width="14.7109375" style="2" customWidth="1"/>
    <col min="1808" max="1808" width="4.85546875" style="2" bestFit="1" customWidth="1"/>
    <col min="1809" max="1809" width="7.7109375" style="2" customWidth="1"/>
    <col min="1810" max="1810" width="3.85546875" style="2" customWidth="1"/>
    <col min="1811" max="1811" width="11.42578125" style="2"/>
    <col min="1812" max="1812" width="13.42578125" style="2" bestFit="1" customWidth="1"/>
    <col min="1813" max="1813" width="7.7109375" style="2" customWidth="1"/>
    <col min="1814" max="1814" width="5.140625" style="2" customWidth="1"/>
    <col min="1815" max="2059" width="11.42578125" style="2"/>
    <col min="2060" max="2060" width="2.5703125" style="2" customWidth="1"/>
    <col min="2061" max="2061" width="13.42578125" style="2" bestFit="1" customWidth="1"/>
    <col min="2062" max="2062" width="6.7109375" style="2" customWidth="1"/>
    <col min="2063" max="2063" width="14.7109375" style="2" customWidth="1"/>
    <col min="2064" max="2064" width="4.85546875" style="2" bestFit="1" customWidth="1"/>
    <col min="2065" max="2065" width="7.7109375" style="2" customWidth="1"/>
    <col min="2066" max="2066" width="3.85546875" style="2" customWidth="1"/>
    <col min="2067" max="2067" width="11.42578125" style="2"/>
    <col min="2068" max="2068" width="13.42578125" style="2" bestFit="1" customWidth="1"/>
    <col min="2069" max="2069" width="7.7109375" style="2" customWidth="1"/>
    <col min="2070" max="2070" width="5.140625" style="2" customWidth="1"/>
    <col min="2071" max="2315" width="11.42578125" style="2"/>
    <col min="2316" max="2316" width="2.5703125" style="2" customWidth="1"/>
    <col min="2317" max="2317" width="13.42578125" style="2" bestFit="1" customWidth="1"/>
    <col min="2318" max="2318" width="6.7109375" style="2" customWidth="1"/>
    <col min="2319" max="2319" width="14.7109375" style="2" customWidth="1"/>
    <col min="2320" max="2320" width="4.85546875" style="2" bestFit="1" customWidth="1"/>
    <col min="2321" max="2321" width="7.7109375" style="2" customWidth="1"/>
    <col min="2322" max="2322" width="3.85546875" style="2" customWidth="1"/>
    <col min="2323" max="2323" width="11.42578125" style="2"/>
    <col min="2324" max="2324" width="13.42578125" style="2" bestFit="1" customWidth="1"/>
    <col min="2325" max="2325" width="7.7109375" style="2" customWidth="1"/>
    <col min="2326" max="2326" width="5.140625" style="2" customWidth="1"/>
    <col min="2327" max="2571" width="11.42578125" style="2"/>
    <col min="2572" max="2572" width="2.5703125" style="2" customWidth="1"/>
    <col min="2573" max="2573" width="13.42578125" style="2" bestFit="1" customWidth="1"/>
    <col min="2574" max="2574" width="6.7109375" style="2" customWidth="1"/>
    <col min="2575" max="2575" width="14.7109375" style="2" customWidth="1"/>
    <col min="2576" max="2576" width="4.85546875" style="2" bestFit="1" customWidth="1"/>
    <col min="2577" max="2577" width="7.7109375" style="2" customWidth="1"/>
    <col min="2578" max="2578" width="3.85546875" style="2" customWidth="1"/>
    <col min="2579" max="2579" width="11.42578125" style="2"/>
    <col min="2580" max="2580" width="13.42578125" style="2" bestFit="1" customWidth="1"/>
    <col min="2581" max="2581" width="7.7109375" style="2" customWidth="1"/>
    <col min="2582" max="2582" width="5.140625" style="2" customWidth="1"/>
    <col min="2583" max="2827" width="11.42578125" style="2"/>
    <col min="2828" max="2828" width="2.5703125" style="2" customWidth="1"/>
    <col min="2829" max="2829" width="13.42578125" style="2" bestFit="1" customWidth="1"/>
    <col min="2830" max="2830" width="6.7109375" style="2" customWidth="1"/>
    <col min="2831" max="2831" width="14.7109375" style="2" customWidth="1"/>
    <col min="2832" max="2832" width="4.85546875" style="2" bestFit="1" customWidth="1"/>
    <col min="2833" max="2833" width="7.7109375" style="2" customWidth="1"/>
    <col min="2834" max="2834" width="3.85546875" style="2" customWidth="1"/>
    <col min="2835" max="2835" width="11.42578125" style="2"/>
    <col min="2836" max="2836" width="13.42578125" style="2" bestFit="1" customWidth="1"/>
    <col min="2837" max="2837" width="7.7109375" style="2" customWidth="1"/>
    <col min="2838" max="2838" width="5.140625" style="2" customWidth="1"/>
    <col min="2839" max="3083" width="11.42578125" style="2"/>
    <col min="3084" max="3084" width="2.5703125" style="2" customWidth="1"/>
    <col min="3085" max="3085" width="13.42578125" style="2" bestFit="1" customWidth="1"/>
    <col min="3086" max="3086" width="6.7109375" style="2" customWidth="1"/>
    <col min="3087" max="3087" width="14.7109375" style="2" customWidth="1"/>
    <col min="3088" max="3088" width="4.85546875" style="2" bestFit="1" customWidth="1"/>
    <col min="3089" max="3089" width="7.7109375" style="2" customWidth="1"/>
    <col min="3090" max="3090" width="3.85546875" style="2" customWidth="1"/>
    <col min="3091" max="3091" width="11.42578125" style="2"/>
    <col min="3092" max="3092" width="13.42578125" style="2" bestFit="1" customWidth="1"/>
    <col min="3093" max="3093" width="7.7109375" style="2" customWidth="1"/>
    <col min="3094" max="3094" width="5.140625" style="2" customWidth="1"/>
    <col min="3095" max="3339" width="11.42578125" style="2"/>
    <col min="3340" max="3340" width="2.5703125" style="2" customWidth="1"/>
    <col min="3341" max="3341" width="13.42578125" style="2" bestFit="1" customWidth="1"/>
    <col min="3342" max="3342" width="6.7109375" style="2" customWidth="1"/>
    <col min="3343" max="3343" width="14.7109375" style="2" customWidth="1"/>
    <col min="3344" max="3344" width="4.85546875" style="2" bestFit="1" customWidth="1"/>
    <col min="3345" max="3345" width="7.7109375" style="2" customWidth="1"/>
    <col min="3346" max="3346" width="3.85546875" style="2" customWidth="1"/>
    <col min="3347" max="3347" width="11.42578125" style="2"/>
    <col min="3348" max="3348" width="13.42578125" style="2" bestFit="1" customWidth="1"/>
    <col min="3349" max="3349" width="7.7109375" style="2" customWidth="1"/>
    <col min="3350" max="3350" width="5.140625" style="2" customWidth="1"/>
    <col min="3351" max="3595" width="11.42578125" style="2"/>
    <col min="3596" max="3596" width="2.5703125" style="2" customWidth="1"/>
    <col min="3597" max="3597" width="13.42578125" style="2" bestFit="1" customWidth="1"/>
    <col min="3598" max="3598" width="6.7109375" style="2" customWidth="1"/>
    <col min="3599" max="3599" width="14.7109375" style="2" customWidth="1"/>
    <col min="3600" max="3600" width="4.85546875" style="2" bestFit="1" customWidth="1"/>
    <col min="3601" max="3601" width="7.7109375" style="2" customWidth="1"/>
    <col min="3602" max="3602" width="3.85546875" style="2" customWidth="1"/>
    <col min="3603" max="3603" width="11.42578125" style="2"/>
    <col min="3604" max="3604" width="13.42578125" style="2" bestFit="1" customWidth="1"/>
    <col min="3605" max="3605" width="7.7109375" style="2" customWidth="1"/>
    <col min="3606" max="3606" width="5.140625" style="2" customWidth="1"/>
    <col min="3607" max="3851" width="11.42578125" style="2"/>
    <col min="3852" max="3852" width="2.5703125" style="2" customWidth="1"/>
    <col min="3853" max="3853" width="13.42578125" style="2" bestFit="1" customWidth="1"/>
    <col min="3854" max="3854" width="6.7109375" style="2" customWidth="1"/>
    <col min="3855" max="3855" width="14.7109375" style="2" customWidth="1"/>
    <col min="3856" max="3856" width="4.85546875" style="2" bestFit="1" customWidth="1"/>
    <col min="3857" max="3857" width="7.7109375" style="2" customWidth="1"/>
    <col min="3858" max="3858" width="3.85546875" style="2" customWidth="1"/>
    <col min="3859" max="3859" width="11.42578125" style="2"/>
    <col min="3860" max="3860" width="13.42578125" style="2" bestFit="1" customWidth="1"/>
    <col min="3861" max="3861" width="7.7109375" style="2" customWidth="1"/>
    <col min="3862" max="3862" width="5.140625" style="2" customWidth="1"/>
    <col min="3863" max="4107" width="11.42578125" style="2"/>
    <col min="4108" max="4108" width="2.5703125" style="2" customWidth="1"/>
    <col min="4109" max="4109" width="13.42578125" style="2" bestFit="1" customWidth="1"/>
    <col min="4110" max="4110" width="6.7109375" style="2" customWidth="1"/>
    <col min="4111" max="4111" width="14.7109375" style="2" customWidth="1"/>
    <col min="4112" max="4112" width="4.85546875" style="2" bestFit="1" customWidth="1"/>
    <col min="4113" max="4113" width="7.7109375" style="2" customWidth="1"/>
    <col min="4114" max="4114" width="3.85546875" style="2" customWidth="1"/>
    <col min="4115" max="4115" width="11.42578125" style="2"/>
    <col min="4116" max="4116" width="13.42578125" style="2" bestFit="1" customWidth="1"/>
    <col min="4117" max="4117" width="7.7109375" style="2" customWidth="1"/>
    <col min="4118" max="4118" width="5.140625" style="2" customWidth="1"/>
    <col min="4119" max="4363" width="11.42578125" style="2"/>
    <col min="4364" max="4364" width="2.5703125" style="2" customWidth="1"/>
    <col min="4365" max="4365" width="13.42578125" style="2" bestFit="1" customWidth="1"/>
    <col min="4366" max="4366" width="6.7109375" style="2" customWidth="1"/>
    <col min="4367" max="4367" width="14.7109375" style="2" customWidth="1"/>
    <col min="4368" max="4368" width="4.85546875" style="2" bestFit="1" customWidth="1"/>
    <col min="4369" max="4369" width="7.7109375" style="2" customWidth="1"/>
    <col min="4370" max="4370" width="3.85546875" style="2" customWidth="1"/>
    <col min="4371" max="4371" width="11.42578125" style="2"/>
    <col min="4372" max="4372" width="13.42578125" style="2" bestFit="1" customWidth="1"/>
    <col min="4373" max="4373" width="7.7109375" style="2" customWidth="1"/>
    <col min="4374" max="4374" width="5.140625" style="2" customWidth="1"/>
    <col min="4375" max="4619" width="11.42578125" style="2"/>
    <col min="4620" max="4620" width="2.5703125" style="2" customWidth="1"/>
    <col min="4621" max="4621" width="13.42578125" style="2" bestFit="1" customWidth="1"/>
    <col min="4622" max="4622" width="6.7109375" style="2" customWidth="1"/>
    <col min="4623" max="4623" width="14.7109375" style="2" customWidth="1"/>
    <col min="4624" max="4624" width="4.85546875" style="2" bestFit="1" customWidth="1"/>
    <col min="4625" max="4625" width="7.7109375" style="2" customWidth="1"/>
    <col min="4626" max="4626" width="3.85546875" style="2" customWidth="1"/>
    <col min="4627" max="4627" width="11.42578125" style="2"/>
    <col min="4628" max="4628" width="13.42578125" style="2" bestFit="1" customWidth="1"/>
    <col min="4629" max="4629" width="7.7109375" style="2" customWidth="1"/>
    <col min="4630" max="4630" width="5.140625" style="2" customWidth="1"/>
    <col min="4631" max="4875" width="11.42578125" style="2"/>
    <col min="4876" max="4876" width="2.5703125" style="2" customWidth="1"/>
    <col min="4877" max="4877" width="13.42578125" style="2" bestFit="1" customWidth="1"/>
    <col min="4878" max="4878" width="6.7109375" style="2" customWidth="1"/>
    <col min="4879" max="4879" width="14.7109375" style="2" customWidth="1"/>
    <col min="4880" max="4880" width="4.85546875" style="2" bestFit="1" customWidth="1"/>
    <col min="4881" max="4881" width="7.7109375" style="2" customWidth="1"/>
    <col min="4882" max="4882" width="3.85546875" style="2" customWidth="1"/>
    <col min="4883" max="4883" width="11.42578125" style="2"/>
    <col min="4884" max="4884" width="13.42578125" style="2" bestFit="1" customWidth="1"/>
    <col min="4885" max="4885" width="7.7109375" style="2" customWidth="1"/>
    <col min="4886" max="4886" width="5.140625" style="2" customWidth="1"/>
    <col min="4887" max="5131" width="11.42578125" style="2"/>
    <col min="5132" max="5132" width="2.5703125" style="2" customWidth="1"/>
    <col min="5133" max="5133" width="13.42578125" style="2" bestFit="1" customWidth="1"/>
    <col min="5134" max="5134" width="6.7109375" style="2" customWidth="1"/>
    <col min="5135" max="5135" width="14.7109375" style="2" customWidth="1"/>
    <col min="5136" max="5136" width="4.85546875" style="2" bestFit="1" customWidth="1"/>
    <col min="5137" max="5137" width="7.7109375" style="2" customWidth="1"/>
    <col min="5138" max="5138" width="3.85546875" style="2" customWidth="1"/>
    <col min="5139" max="5139" width="11.42578125" style="2"/>
    <col min="5140" max="5140" width="13.42578125" style="2" bestFit="1" customWidth="1"/>
    <col min="5141" max="5141" width="7.7109375" style="2" customWidth="1"/>
    <col min="5142" max="5142" width="5.140625" style="2" customWidth="1"/>
    <col min="5143" max="5387" width="11.42578125" style="2"/>
    <col min="5388" max="5388" width="2.5703125" style="2" customWidth="1"/>
    <col min="5389" max="5389" width="13.42578125" style="2" bestFit="1" customWidth="1"/>
    <col min="5390" max="5390" width="6.7109375" style="2" customWidth="1"/>
    <col min="5391" max="5391" width="14.7109375" style="2" customWidth="1"/>
    <col min="5392" max="5392" width="4.85546875" style="2" bestFit="1" customWidth="1"/>
    <col min="5393" max="5393" width="7.7109375" style="2" customWidth="1"/>
    <col min="5394" max="5394" width="3.85546875" style="2" customWidth="1"/>
    <col min="5395" max="5395" width="11.42578125" style="2"/>
    <col min="5396" max="5396" width="13.42578125" style="2" bestFit="1" customWidth="1"/>
    <col min="5397" max="5397" width="7.7109375" style="2" customWidth="1"/>
    <col min="5398" max="5398" width="5.140625" style="2" customWidth="1"/>
    <col min="5399" max="5643" width="11.42578125" style="2"/>
    <col min="5644" max="5644" width="2.5703125" style="2" customWidth="1"/>
    <col min="5645" max="5645" width="13.42578125" style="2" bestFit="1" customWidth="1"/>
    <col min="5646" max="5646" width="6.7109375" style="2" customWidth="1"/>
    <col min="5647" max="5647" width="14.7109375" style="2" customWidth="1"/>
    <col min="5648" max="5648" width="4.85546875" style="2" bestFit="1" customWidth="1"/>
    <col min="5649" max="5649" width="7.7109375" style="2" customWidth="1"/>
    <col min="5650" max="5650" width="3.85546875" style="2" customWidth="1"/>
    <col min="5651" max="5651" width="11.42578125" style="2"/>
    <col min="5652" max="5652" width="13.42578125" style="2" bestFit="1" customWidth="1"/>
    <col min="5653" max="5653" width="7.7109375" style="2" customWidth="1"/>
    <col min="5654" max="5654" width="5.140625" style="2" customWidth="1"/>
    <col min="5655" max="5899" width="11.42578125" style="2"/>
    <col min="5900" max="5900" width="2.5703125" style="2" customWidth="1"/>
    <col min="5901" max="5901" width="13.42578125" style="2" bestFit="1" customWidth="1"/>
    <col min="5902" max="5902" width="6.7109375" style="2" customWidth="1"/>
    <col min="5903" max="5903" width="14.7109375" style="2" customWidth="1"/>
    <col min="5904" max="5904" width="4.85546875" style="2" bestFit="1" customWidth="1"/>
    <col min="5905" max="5905" width="7.7109375" style="2" customWidth="1"/>
    <col min="5906" max="5906" width="3.85546875" style="2" customWidth="1"/>
    <col min="5907" max="5907" width="11.42578125" style="2"/>
    <col min="5908" max="5908" width="13.42578125" style="2" bestFit="1" customWidth="1"/>
    <col min="5909" max="5909" width="7.7109375" style="2" customWidth="1"/>
    <col min="5910" max="5910" width="5.140625" style="2" customWidth="1"/>
    <col min="5911" max="6155" width="11.42578125" style="2"/>
    <col min="6156" max="6156" width="2.5703125" style="2" customWidth="1"/>
    <col min="6157" max="6157" width="13.42578125" style="2" bestFit="1" customWidth="1"/>
    <col min="6158" max="6158" width="6.7109375" style="2" customWidth="1"/>
    <col min="6159" max="6159" width="14.7109375" style="2" customWidth="1"/>
    <col min="6160" max="6160" width="4.85546875" style="2" bestFit="1" customWidth="1"/>
    <col min="6161" max="6161" width="7.7109375" style="2" customWidth="1"/>
    <col min="6162" max="6162" width="3.85546875" style="2" customWidth="1"/>
    <col min="6163" max="6163" width="11.42578125" style="2"/>
    <col min="6164" max="6164" width="13.42578125" style="2" bestFit="1" customWidth="1"/>
    <col min="6165" max="6165" width="7.7109375" style="2" customWidth="1"/>
    <col min="6166" max="6166" width="5.140625" style="2" customWidth="1"/>
    <col min="6167" max="6411" width="11.42578125" style="2"/>
    <col min="6412" max="6412" width="2.5703125" style="2" customWidth="1"/>
    <col min="6413" max="6413" width="13.42578125" style="2" bestFit="1" customWidth="1"/>
    <col min="6414" max="6414" width="6.7109375" style="2" customWidth="1"/>
    <col min="6415" max="6415" width="14.7109375" style="2" customWidth="1"/>
    <col min="6416" max="6416" width="4.85546875" style="2" bestFit="1" customWidth="1"/>
    <col min="6417" max="6417" width="7.7109375" style="2" customWidth="1"/>
    <col min="6418" max="6418" width="3.85546875" style="2" customWidth="1"/>
    <col min="6419" max="6419" width="11.42578125" style="2"/>
    <col min="6420" max="6420" width="13.42578125" style="2" bestFit="1" customWidth="1"/>
    <col min="6421" max="6421" width="7.7109375" style="2" customWidth="1"/>
    <col min="6422" max="6422" width="5.140625" style="2" customWidth="1"/>
    <col min="6423" max="6667" width="11.42578125" style="2"/>
    <col min="6668" max="6668" width="2.5703125" style="2" customWidth="1"/>
    <col min="6669" max="6669" width="13.42578125" style="2" bestFit="1" customWidth="1"/>
    <col min="6670" max="6670" width="6.7109375" style="2" customWidth="1"/>
    <col min="6671" max="6671" width="14.7109375" style="2" customWidth="1"/>
    <col min="6672" max="6672" width="4.85546875" style="2" bestFit="1" customWidth="1"/>
    <col min="6673" max="6673" width="7.7109375" style="2" customWidth="1"/>
    <col min="6674" max="6674" width="3.85546875" style="2" customWidth="1"/>
    <col min="6675" max="6675" width="11.42578125" style="2"/>
    <col min="6676" max="6676" width="13.42578125" style="2" bestFit="1" customWidth="1"/>
    <col min="6677" max="6677" width="7.7109375" style="2" customWidth="1"/>
    <col min="6678" max="6678" width="5.140625" style="2" customWidth="1"/>
    <col min="6679" max="6923" width="11.42578125" style="2"/>
    <col min="6924" max="6924" width="2.5703125" style="2" customWidth="1"/>
    <col min="6925" max="6925" width="13.42578125" style="2" bestFit="1" customWidth="1"/>
    <col min="6926" max="6926" width="6.7109375" style="2" customWidth="1"/>
    <col min="6927" max="6927" width="14.7109375" style="2" customWidth="1"/>
    <col min="6928" max="6928" width="4.85546875" style="2" bestFit="1" customWidth="1"/>
    <col min="6929" max="6929" width="7.7109375" style="2" customWidth="1"/>
    <col min="6930" max="6930" width="3.85546875" style="2" customWidth="1"/>
    <col min="6931" max="6931" width="11.42578125" style="2"/>
    <col min="6932" max="6932" width="13.42578125" style="2" bestFit="1" customWidth="1"/>
    <col min="6933" max="6933" width="7.7109375" style="2" customWidth="1"/>
    <col min="6934" max="6934" width="5.140625" style="2" customWidth="1"/>
    <col min="6935" max="7179" width="11.42578125" style="2"/>
    <col min="7180" max="7180" width="2.5703125" style="2" customWidth="1"/>
    <col min="7181" max="7181" width="13.42578125" style="2" bestFit="1" customWidth="1"/>
    <col min="7182" max="7182" width="6.7109375" style="2" customWidth="1"/>
    <col min="7183" max="7183" width="14.7109375" style="2" customWidth="1"/>
    <col min="7184" max="7184" width="4.85546875" style="2" bestFit="1" customWidth="1"/>
    <col min="7185" max="7185" width="7.7109375" style="2" customWidth="1"/>
    <col min="7186" max="7186" width="3.85546875" style="2" customWidth="1"/>
    <col min="7187" max="7187" width="11.42578125" style="2"/>
    <col min="7188" max="7188" width="13.42578125" style="2" bestFit="1" customWidth="1"/>
    <col min="7189" max="7189" width="7.7109375" style="2" customWidth="1"/>
    <col min="7190" max="7190" width="5.140625" style="2" customWidth="1"/>
    <col min="7191" max="7435" width="11.42578125" style="2"/>
    <col min="7436" max="7436" width="2.5703125" style="2" customWidth="1"/>
    <col min="7437" max="7437" width="13.42578125" style="2" bestFit="1" customWidth="1"/>
    <col min="7438" max="7438" width="6.7109375" style="2" customWidth="1"/>
    <col min="7439" max="7439" width="14.7109375" style="2" customWidth="1"/>
    <col min="7440" max="7440" width="4.85546875" style="2" bestFit="1" customWidth="1"/>
    <col min="7441" max="7441" width="7.7109375" style="2" customWidth="1"/>
    <col min="7442" max="7442" width="3.85546875" style="2" customWidth="1"/>
    <col min="7443" max="7443" width="11.42578125" style="2"/>
    <col min="7444" max="7444" width="13.42578125" style="2" bestFit="1" customWidth="1"/>
    <col min="7445" max="7445" width="7.7109375" style="2" customWidth="1"/>
    <col min="7446" max="7446" width="5.140625" style="2" customWidth="1"/>
    <col min="7447" max="7691" width="11.42578125" style="2"/>
    <col min="7692" max="7692" width="2.5703125" style="2" customWidth="1"/>
    <col min="7693" max="7693" width="13.42578125" style="2" bestFit="1" customWidth="1"/>
    <col min="7694" max="7694" width="6.7109375" style="2" customWidth="1"/>
    <col min="7695" max="7695" width="14.7109375" style="2" customWidth="1"/>
    <col min="7696" max="7696" width="4.85546875" style="2" bestFit="1" customWidth="1"/>
    <col min="7697" max="7697" width="7.7109375" style="2" customWidth="1"/>
    <col min="7698" max="7698" width="3.85546875" style="2" customWidth="1"/>
    <col min="7699" max="7699" width="11.42578125" style="2"/>
    <col min="7700" max="7700" width="13.42578125" style="2" bestFit="1" customWidth="1"/>
    <col min="7701" max="7701" width="7.7109375" style="2" customWidth="1"/>
    <col min="7702" max="7702" width="5.140625" style="2" customWidth="1"/>
    <col min="7703" max="7947" width="11.42578125" style="2"/>
    <col min="7948" max="7948" width="2.5703125" style="2" customWidth="1"/>
    <col min="7949" max="7949" width="13.42578125" style="2" bestFit="1" customWidth="1"/>
    <col min="7950" max="7950" width="6.7109375" style="2" customWidth="1"/>
    <col min="7951" max="7951" width="14.7109375" style="2" customWidth="1"/>
    <col min="7952" max="7952" width="4.85546875" style="2" bestFit="1" customWidth="1"/>
    <col min="7953" max="7953" width="7.7109375" style="2" customWidth="1"/>
    <col min="7954" max="7954" width="3.85546875" style="2" customWidth="1"/>
    <col min="7955" max="7955" width="11.42578125" style="2"/>
    <col min="7956" max="7956" width="13.42578125" style="2" bestFit="1" customWidth="1"/>
    <col min="7957" max="7957" width="7.7109375" style="2" customWidth="1"/>
    <col min="7958" max="7958" width="5.140625" style="2" customWidth="1"/>
    <col min="7959" max="8203" width="11.42578125" style="2"/>
    <col min="8204" max="8204" width="2.5703125" style="2" customWidth="1"/>
    <col min="8205" max="8205" width="13.42578125" style="2" bestFit="1" customWidth="1"/>
    <col min="8206" max="8206" width="6.7109375" style="2" customWidth="1"/>
    <col min="8207" max="8207" width="14.7109375" style="2" customWidth="1"/>
    <col min="8208" max="8208" width="4.85546875" style="2" bestFit="1" customWidth="1"/>
    <col min="8209" max="8209" width="7.7109375" style="2" customWidth="1"/>
    <col min="8210" max="8210" width="3.85546875" style="2" customWidth="1"/>
    <col min="8211" max="8211" width="11.42578125" style="2"/>
    <col min="8212" max="8212" width="13.42578125" style="2" bestFit="1" customWidth="1"/>
    <col min="8213" max="8213" width="7.7109375" style="2" customWidth="1"/>
    <col min="8214" max="8214" width="5.140625" style="2" customWidth="1"/>
    <col min="8215" max="8459" width="11.42578125" style="2"/>
    <col min="8460" max="8460" width="2.5703125" style="2" customWidth="1"/>
    <col min="8461" max="8461" width="13.42578125" style="2" bestFit="1" customWidth="1"/>
    <col min="8462" max="8462" width="6.7109375" style="2" customWidth="1"/>
    <col min="8463" max="8463" width="14.7109375" style="2" customWidth="1"/>
    <col min="8464" max="8464" width="4.85546875" style="2" bestFit="1" customWidth="1"/>
    <col min="8465" max="8465" width="7.7109375" style="2" customWidth="1"/>
    <col min="8466" max="8466" width="3.85546875" style="2" customWidth="1"/>
    <col min="8467" max="8467" width="11.42578125" style="2"/>
    <col min="8468" max="8468" width="13.42578125" style="2" bestFit="1" customWidth="1"/>
    <col min="8469" max="8469" width="7.7109375" style="2" customWidth="1"/>
    <col min="8470" max="8470" width="5.140625" style="2" customWidth="1"/>
    <col min="8471" max="8715" width="11.42578125" style="2"/>
    <col min="8716" max="8716" width="2.5703125" style="2" customWidth="1"/>
    <col min="8717" max="8717" width="13.42578125" style="2" bestFit="1" customWidth="1"/>
    <col min="8718" max="8718" width="6.7109375" style="2" customWidth="1"/>
    <col min="8719" max="8719" width="14.7109375" style="2" customWidth="1"/>
    <col min="8720" max="8720" width="4.85546875" style="2" bestFit="1" customWidth="1"/>
    <col min="8721" max="8721" width="7.7109375" style="2" customWidth="1"/>
    <col min="8722" max="8722" width="3.85546875" style="2" customWidth="1"/>
    <col min="8723" max="8723" width="11.42578125" style="2"/>
    <col min="8724" max="8724" width="13.42578125" style="2" bestFit="1" customWidth="1"/>
    <col min="8725" max="8725" width="7.7109375" style="2" customWidth="1"/>
    <col min="8726" max="8726" width="5.140625" style="2" customWidth="1"/>
    <col min="8727" max="8971" width="11.42578125" style="2"/>
    <col min="8972" max="8972" width="2.5703125" style="2" customWidth="1"/>
    <col min="8973" max="8973" width="13.42578125" style="2" bestFit="1" customWidth="1"/>
    <col min="8974" max="8974" width="6.7109375" style="2" customWidth="1"/>
    <col min="8975" max="8975" width="14.7109375" style="2" customWidth="1"/>
    <col min="8976" max="8976" width="4.85546875" style="2" bestFit="1" customWidth="1"/>
    <col min="8977" max="8977" width="7.7109375" style="2" customWidth="1"/>
    <col min="8978" max="8978" width="3.85546875" style="2" customWidth="1"/>
    <col min="8979" max="8979" width="11.42578125" style="2"/>
    <col min="8980" max="8980" width="13.42578125" style="2" bestFit="1" customWidth="1"/>
    <col min="8981" max="8981" width="7.7109375" style="2" customWidth="1"/>
    <col min="8982" max="8982" width="5.140625" style="2" customWidth="1"/>
    <col min="8983" max="9227" width="11.42578125" style="2"/>
    <col min="9228" max="9228" width="2.5703125" style="2" customWidth="1"/>
    <col min="9229" max="9229" width="13.42578125" style="2" bestFit="1" customWidth="1"/>
    <col min="9230" max="9230" width="6.7109375" style="2" customWidth="1"/>
    <col min="9231" max="9231" width="14.7109375" style="2" customWidth="1"/>
    <col min="9232" max="9232" width="4.85546875" style="2" bestFit="1" customWidth="1"/>
    <col min="9233" max="9233" width="7.7109375" style="2" customWidth="1"/>
    <col min="9234" max="9234" width="3.85546875" style="2" customWidth="1"/>
    <col min="9235" max="9235" width="11.42578125" style="2"/>
    <col min="9236" max="9236" width="13.42578125" style="2" bestFit="1" customWidth="1"/>
    <col min="9237" max="9237" width="7.7109375" style="2" customWidth="1"/>
    <col min="9238" max="9238" width="5.140625" style="2" customWidth="1"/>
    <col min="9239" max="9483" width="11.42578125" style="2"/>
    <col min="9484" max="9484" width="2.5703125" style="2" customWidth="1"/>
    <col min="9485" max="9485" width="13.42578125" style="2" bestFit="1" customWidth="1"/>
    <col min="9486" max="9486" width="6.7109375" style="2" customWidth="1"/>
    <col min="9487" max="9487" width="14.7109375" style="2" customWidth="1"/>
    <col min="9488" max="9488" width="4.85546875" style="2" bestFit="1" customWidth="1"/>
    <col min="9489" max="9489" width="7.7109375" style="2" customWidth="1"/>
    <col min="9490" max="9490" width="3.85546875" style="2" customWidth="1"/>
    <col min="9491" max="9491" width="11.42578125" style="2"/>
    <col min="9492" max="9492" width="13.42578125" style="2" bestFit="1" customWidth="1"/>
    <col min="9493" max="9493" width="7.7109375" style="2" customWidth="1"/>
    <col min="9494" max="9494" width="5.140625" style="2" customWidth="1"/>
    <col min="9495" max="9739" width="11.42578125" style="2"/>
    <col min="9740" max="9740" width="2.5703125" style="2" customWidth="1"/>
    <col min="9741" max="9741" width="13.42578125" style="2" bestFit="1" customWidth="1"/>
    <col min="9742" max="9742" width="6.7109375" style="2" customWidth="1"/>
    <col min="9743" max="9743" width="14.7109375" style="2" customWidth="1"/>
    <col min="9744" max="9744" width="4.85546875" style="2" bestFit="1" customWidth="1"/>
    <col min="9745" max="9745" width="7.7109375" style="2" customWidth="1"/>
    <col min="9746" max="9746" width="3.85546875" style="2" customWidth="1"/>
    <col min="9747" max="9747" width="11.42578125" style="2"/>
    <col min="9748" max="9748" width="13.42578125" style="2" bestFit="1" customWidth="1"/>
    <col min="9749" max="9749" width="7.7109375" style="2" customWidth="1"/>
    <col min="9750" max="9750" width="5.140625" style="2" customWidth="1"/>
    <col min="9751" max="9995" width="11.42578125" style="2"/>
    <col min="9996" max="9996" width="2.5703125" style="2" customWidth="1"/>
    <col min="9997" max="9997" width="13.42578125" style="2" bestFit="1" customWidth="1"/>
    <col min="9998" max="9998" width="6.7109375" style="2" customWidth="1"/>
    <col min="9999" max="9999" width="14.7109375" style="2" customWidth="1"/>
    <col min="10000" max="10000" width="4.85546875" style="2" bestFit="1" customWidth="1"/>
    <col min="10001" max="10001" width="7.7109375" style="2" customWidth="1"/>
    <col min="10002" max="10002" width="3.85546875" style="2" customWidth="1"/>
    <col min="10003" max="10003" width="11.42578125" style="2"/>
    <col min="10004" max="10004" width="13.42578125" style="2" bestFit="1" customWidth="1"/>
    <col min="10005" max="10005" width="7.7109375" style="2" customWidth="1"/>
    <col min="10006" max="10006" width="5.140625" style="2" customWidth="1"/>
    <col min="10007" max="10251" width="11.42578125" style="2"/>
    <col min="10252" max="10252" width="2.5703125" style="2" customWidth="1"/>
    <col min="10253" max="10253" width="13.42578125" style="2" bestFit="1" customWidth="1"/>
    <col min="10254" max="10254" width="6.7109375" style="2" customWidth="1"/>
    <col min="10255" max="10255" width="14.7109375" style="2" customWidth="1"/>
    <col min="10256" max="10256" width="4.85546875" style="2" bestFit="1" customWidth="1"/>
    <col min="10257" max="10257" width="7.7109375" style="2" customWidth="1"/>
    <col min="10258" max="10258" width="3.85546875" style="2" customWidth="1"/>
    <col min="10259" max="10259" width="11.42578125" style="2"/>
    <col min="10260" max="10260" width="13.42578125" style="2" bestFit="1" customWidth="1"/>
    <col min="10261" max="10261" width="7.7109375" style="2" customWidth="1"/>
    <col min="10262" max="10262" width="5.140625" style="2" customWidth="1"/>
    <col min="10263" max="10507" width="11.42578125" style="2"/>
    <col min="10508" max="10508" width="2.5703125" style="2" customWidth="1"/>
    <col min="10509" max="10509" width="13.42578125" style="2" bestFit="1" customWidth="1"/>
    <col min="10510" max="10510" width="6.7109375" style="2" customWidth="1"/>
    <col min="10511" max="10511" width="14.7109375" style="2" customWidth="1"/>
    <col min="10512" max="10512" width="4.85546875" style="2" bestFit="1" customWidth="1"/>
    <col min="10513" max="10513" width="7.7109375" style="2" customWidth="1"/>
    <col min="10514" max="10514" width="3.85546875" style="2" customWidth="1"/>
    <col min="10515" max="10515" width="11.42578125" style="2"/>
    <col min="10516" max="10516" width="13.42578125" style="2" bestFit="1" customWidth="1"/>
    <col min="10517" max="10517" width="7.7109375" style="2" customWidth="1"/>
    <col min="10518" max="10518" width="5.140625" style="2" customWidth="1"/>
    <col min="10519" max="10763" width="11.42578125" style="2"/>
    <col min="10764" max="10764" width="2.5703125" style="2" customWidth="1"/>
    <col min="10765" max="10765" width="13.42578125" style="2" bestFit="1" customWidth="1"/>
    <col min="10766" max="10766" width="6.7109375" style="2" customWidth="1"/>
    <col min="10767" max="10767" width="14.7109375" style="2" customWidth="1"/>
    <col min="10768" max="10768" width="4.85546875" style="2" bestFit="1" customWidth="1"/>
    <col min="10769" max="10769" width="7.7109375" style="2" customWidth="1"/>
    <col min="10770" max="10770" width="3.85546875" style="2" customWidth="1"/>
    <col min="10771" max="10771" width="11.42578125" style="2"/>
    <col min="10772" max="10772" width="13.42578125" style="2" bestFit="1" customWidth="1"/>
    <col min="10773" max="10773" width="7.7109375" style="2" customWidth="1"/>
    <col min="10774" max="10774" width="5.140625" style="2" customWidth="1"/>
    <col min="10775" max="11019" width="11.42578125" style="2"/>
    <col min="11020" max="11020" width="2.5703125" style="2" customWidth="1"/>
    <col min="11021" max="11021" width="13.42578125" style="2" bestFit="1" customWidth="1"/>
    <col min="11022" max="11022" width="6.7109375" style="2" customWidth="1"/>
    <col min="11023" max="11023" width="14.7109375" style="2" customWidth="1"/>
    <col min="11024" max="11024" width="4.85546875" style="2" bestFit="1" customWidth="1"/>
    <col min="11025" max="11025" width="7.7109375" style="2" customWidth="1"/>
    <col min="11026" max="11026" width="3.85546875" style="2" customWidth="1"/>
    <col min="11027" max="11027" width="11.42578125" style="2"/>
    <col min="11028" max="11028" width="13.42578125" style="2" bestFit="1" customWidth="1"/>
    <col min="11029" max="11029" width="7.7109375" style="2" customWidth="1"/>
    <col min="11030" max="11030" width="5.140625" style="2" customWidth="1"/>
    <col min="11031" max="11275" width="11.42578125" style="2"/>
    <col min="11276" max="11276" width="2.5703125" style="2" customWidth="1"/>
    <col min="11277" max="11277" width="13.42578125" style="2" bestFit="1" customWidth="1"/>
    <col min="11278" max="11278" width="6.7109375" style="2" customWidth="1"/>
    <col min="11279" max="11279" width="14.7109375" style="2" customWidth="1"/>
    <col min="11280" max="11280" width="4.85546875" style="2" bestFit="1" customWidth="1"/>
    <col min="11281" max="11281" width="7.7109375" style="2" customWidth="1"/>
    <col min="11282" max="11282" width="3.85546875" style="2" customWidth="1"/>
    <col min="11283" max="11283" width="11.42578125" style="2"/>
    <col min="11284" max="11284" width="13.42578125" style="2" bestFit="1" customWidth="1"/>
    <col min="11285" max="11285" width="7.7109375" style="2" customWidth="1"/>
    <col min="11286" max="11286" width="5.140625" style="2" customWidth="1"/>
    <col min="11287" max="11531" width="11.42578125" style="2"/>
    <col min="11532" max="11532" width="2.5703125" style="2" customWidth="1"/>
    <col min="11533" max="11533" width="13.42578125" style="2" bestFit="1" customWidth="1"/>
    <col min="11534" max="11534" width="6.7109375" style="2" customWidth="1"/>
    <col min="11535" max="11535" width="14.7109375" style="2" customWidth="1"/>
    <col min="11536" max="11536" width="4.85546875" style="2" bestFit="1" customWidth="1"/>
    <col min="11537" max="11537" width="7.7109375" style="2" customWidth="1"/>
    <col min="11538" max="11538" width="3.85546875" style="2" customWidth="1"/>
    <col min="11539" max="11539" width="11.42578125" style="2"/>
    <col min="11540" max="11540" width="13.42578125" style="2" bestFit="1" customWidth="1"/>
    <col min="11541" max="11541" width="7.7109375" style="2" customWidth="1"/>
    <col min="11542" max="11542" width="5.140625" style="2" customWidth="1"/>
    <col min="11543" max="11787" width="11.42578125" style="2"/>
    <col min="11788" max="11788" width="2.5703125" style="2" customWidth="1"/>
    <col min="11789" max="11789" width="13.42578125" style="2" bestFit="1" customWidth="1"/>
    <col min="11790" max="11790" width="6.7109375" style="2" customWidth="1"/>
    <col min="11791" max="11791" width="14.7109375" style="2" customWidth="1"/>
    <col min="11792" max="11792" width="4.85546875" style="2" bestFit="1" customWidth="1"/>
    <col min="11793" max="11793" width="7.7109375" style="2" customWidth="1"/>
    <col min="11794" max="11794" width="3.85546875" style="2" customWidth="1"/>
    <col min="11795" max="11795" width="11.42578125" style="2"/>
    <col min="11796" max="11796" width="13.42578125" style="2" bestFit="1" customWidth="1"/>
    <col min="11797" max="11797" width="7.7109375" style="2" customWidth="1"/>
    <col min="11798" max="11798" width="5.140625" style="2" customWidth="1"/>
    <col min="11799" max="12043" width="11.42578125" style="2"/>
    <col min="12044" max="12044" width="2.5703125" style="2" customWidth="1"/>
    <col min="12045" max="12045" width="13.42578125" style="2" bestFit="1" customWidth="1"/>
    <col min="12046" max="12046" width="6.7109375" style="2" customWidth="1"/>
    <col min="12047" max="12047" width="14.7109375" style="2" customWidth="1"/>
    <col min="12048" max="12048" width="4.85546875" style="2" bestFit="1" customWidth="1"/>
    <col min="12049" max="12049" width="7.7109375" style="2" customWidth="1"/>
    <col min="12050" max="12050" width="3.85546875" style="2" customWidth="1"/>
    <col min="12051" max="12051" width="11.42578125" style="2"/>
    <col min="12052" max="12052" width="13.42578125" style="2" bestFit="1" customWidth="1"/>
    <col min="12053" max="12053" width="7.7109375" style="2" customWidth="1"/>
    <col min="12054" max="12054" width="5.140625" style="2" customWidth="1"/>
    <col min="12055" max="12299" width="11.42578125" style="2"/>
    <col min="12300" max="12300" width="2.5703125" style="2" customWidth="1"/>
    <col min="12301" max="12301" width="13.42578125" style="2" bestFit="1" customWidth="1"/>
    <col min="12302" max="12302" width="6.7109375" style="2" customWidth="1"/>
    <col min="12303" max="12303" width="14.7109375" style="2" customWidth="1"/>
    <col min="12304" max="12304" width="4.85546875" style="2" bestFit="1" customWidth="1"/>
    <col min="12305" max="12305" width="7.7109375" style="2" customWidth="1"/>
    <col min="12306" max="12306" width="3.85546875" style="2" customWidth="1"/>
    <col min="12307" max="12307" width="11.42578125" style="2"/>
    <col min="12308" max="12308" width="13.42578125" style="2" bestFit="1" customWidth="1"/>
    <col min="12309" max="12309" width="7.7109375" style="2" customWidth="1"/>
    <col min="12310" max="12310" width="5.140625" style="2" customWidth="1"/>
    <col min="12311" max="12555" width="11.42578125" style="2"/>
    <col min="12556" max="12556" width="2.5703125" style="2" customWidth="1"/>
    <col min="12557" max="12557" width="13.42578125" style="2" bestFit="1" customWidth="1"/>
    <col min="12558" max="12558" width="6.7109375" style="2" customWidth="1"/>
    <col min="12559" max="12559" width="14.7109375" style="2" customWidth="1"/>
    <col min="12560" max="12560" width="4.85546875" style="2" bestFit="1" customWidth="1"/>
    <col min="12561" max="12561" width="7.7109375" style="2" customWidth="1"/>
    <col min="12562" max="12562" width="3.85546875" style="2" customWidth="1"/>
    <col min="12563" max="12563" width="11.42578125" style="2"/>
    <col min="12564" max="12564" width="13.42578125" style="2" bestFit="1" customWidth="1"/>
    <col min="12565" max="12565" width="7.7109375" style="2" customWidth="1"/>
    <col min="12566" max="12566" width="5.140625" style="2" customWidth="1"/>
    <col min="12567" max="12811" width="11.42578125" style="2"/>
    <col min="12812" max="12812" width="2.5703125" style="2" customWidth="1"/>
    <col min="12813" max="12813" width="13.42578125" style="2" bestFit="1" customWidth="1"/>
    <col min="12814" max="12814" width="6.7109375" style="2" customWidth="1"/>
    <col min="12815" max="12815" width="14.7109375" style="2" customWidth="1"/>
    <col min="12816" max="12816" width="4.85546875" style="2" bestFit="1" customWidth="1"/>
    <col min="12817" max="12817" width="7.7109375" style="2" customWidth="1"/>
    <col min="12818" max="12818" width="3.85546875" style="2" customWidth="1"/>
    <col min="12819" max="12819" width="11.42578125" style="2"/>
    <col min="12820" max="12820" width="13.42578125" style="2" bestFit="1" customWidth="1"/>
    <col min="12821" max="12821" width="7.7109375" style="2" customWidth="1"/>
    <col min="12822" max="12822" width="5.140625" style="2" customWidth="1"/>
    <col min="12823" max="13067" width="11.42578125" style="2"/>
    <col min="13068" max="13068" width="2.5703125" style="2" customWidth="1"/>
    <col min="13069" max="13069" width="13.42578125" style="2" bestFit="1" customWidth="1"/>
    <col min="13070" max="13070" width="6.7109375" style="2" customWidth="1"/>
    <col min="13071" max="13071" width="14.7109375" style="2" customWidth="1"/>
    <col min="13072" max="13072" width="4.85546875" style="2" bestFit="1" customWidth="1"/>
    <col min="13073" max="13073" width="7.7109375" style="2" customWidth="1"/>
    <col min="13074" max="13074" width="3.85546875" style="2" customWidth="1"/>
    <col min="13075" max="13075" width="11.42578125" style="2"/>
    <col min="13076" max="13076" width="13.42578125" style="2" bestFit="1" customWidth="1"/>
    <col min="13077" max="13077" width="7.7109375" style="2" customWidth="1"/>
    <col min="13078" max="13078" width="5.140625" style="2" customWidth="1"/>
    <col min="13079" max="13323" width="11.42578125" style="2"/>
    <col min="13324" max="13324" width="2.5703125" style="2" customWidth="1"/>
    <col min="13325" max="13325" width="13.42578125" style="2" bestFit="1" customWidth="1"/>
    <col min="13326" max="13326" width="6.7109375" style="2" customWidth="1"/>
    <col min="13327" max="13327" width="14.7109375" style="2" customWidth="1"/>
    <col min="13328" max="13328" width="4.85546875" style="2" bestFit="1" customWidth="1"/>
    <col min="13329" max="13329" width="7.7109375" style="2" customWidth="1"/>
    <col min="13330" max="13330" width="3.85546875" style="2" customWidth="1"/>
    <col min="13331" max="13331" width="11.42578125" style="2"/>
    <col min="13332" max="13332" width="13.42578125" style="2" bestFit="1" customWidth="1"/>
    <col min="13333" max="13333" width="7.7109375" style="2" customWidth="1"/>
    <col min="13334" max="13334" width="5.140625" style="2" customWidth="1"/>
    <col min="13335" max="13579" width="11.42578125" style="2"/>
    <col min="13580" max="13580" width="2.5703125" style="2" customWidth="1"/>
    <col min="13581" max="13581" width="13.42578125" style="2" bestFit="1" customWidth="1"/>
    <col min="13582" max="13582" width="6.7109375" style="2" customWidth="1"/>
    <col min="13583" max="13583" width="14.7109375" style="2" customWidth="1"/>
    <col min="13584" max="13584" width="4.85546875" style="2" bestFit="1" customWidth="1"/>
    <col min="13585" max="13585" width="7.7109375" style="2" customWidth="1"/>
    <col min="13586" max="13586" width="3.85546875" style="2" customWidth="1"/>
    <col min="13587" max="13587" width="11.42578125" style="2"/>
    <col min="13588" max="13588" width="13.42578125" style="2" bestFit="1" customWidth="1"/>
    <col min="13589" max="13589" width="7.7109375" style="2" customWidth="1"/>
    <col min="13590" max="13590" width="5.140625" style="2" customWidth="1"/>
    <col min="13591" max="13835" width="11.42578125" style="2"/>
    <col min="13836" max="13836" width="2.5703125" style="2" customWidth="1"/>
    <col min="13837" max="13837" width="13.42578125" style="2" bestFit="1" customWidth="1"/>
    <col min="13838" max="13838" width="6.7109375" style="2" customWidth="1"/>
    <col min="13839" max="13839" width="14.7109375" style="2" customWidth="1"/>
    <col min="13840" max="13840" width="4.85546875" style="2" bestFit="1" customWidth="1"/>
    <col min="13841" max="13841" width="7.7109375" style="2" customWidth="1"/>
    <col min="13842" max="13842" width="3.85546875" style="2" customWidth="1"/>
    <col min="13843" max="13843" width="11.42578125" style="2"/>
    <col min="13844" max="13844" width="13.42578125" style="2" bestFit="1" customWidth="1"/>
    <col min="13845" max="13845" width="7.7109375" style="2" customWidth="1"/>
    <col min="13846" max="13846" width="5.140625" style="2" customWidth="1"/>
    <col min="13847" max="14091" width="11.42578125" style="2"/>
    <col min="14092" max="14092" width="2.5703125" style="2" customWidth="1"/>
    <col min="14093" max="14093" width="13.42578125" style="2" bestFit="1" customWidth="1"/>
    <col min="14094" max="14094" width="6.7109375" style="2" customWidth="1"/>
    <col min="14095" max="14095" width="14.7109375" style="2" customWidth="1"/>
    <col min="14096" max="14096" width="4.85546875" style="2" bestFit="1" customWidth="1"/>
    <col min="14097" max="14097" width="7.7109375" style="2" customWidth="1"/>
    <col min="14098" max="14098" width="3.85546875" style="2" customWidth="1"/>
    <col min="14099" max="14099" width="11.42578125" style="2"/>
    <col min="14100" max="14100" width="13.42578125" style="2" bestFit="1" customWidth="1"/>
    <col min="14101" max="14101" width="7.7109375" style="2" customWidth="1"/>
    <col min="14102" max="14102" width="5.140625" style="2" customWidth="1"/>
    <col min="14103" max="14347" width="11.42578125" style="2"/>
    <col min="14348" max="14348" width="2.5703125" style="2" customWidth="1"/>
    <col min="14349" max="14349" width="13.42578125" style="2" bestFit="1" customWidth="1"/>
    <col min="14350" max="14350" width="6.7109375" style="2" customWidth="1"/>
    <col min="14351" max="14351" width="14.7109375" style="2" customWidth="1"/>
    <col min="14352" max="14352" width="4.85546875" style="2" bestFit="1" customWidth="1"/>
    <col min="14353" max="14353" width="7.7109375" style="2" customWidth="1"/>
    <col min="14354" max="14354" width="3.85546875" style="2" customWidth="1"/>
    <col min="14355" max="14355" width="11.42578125" style="2"/>
    <col min="14356" max="14356" width="13.42578125" style="2" bestFit="1" customWidth="1"/>
    <col min="14357" max="14357" width="7.7109375" style="2" customWidth="1"/>
    <col min="14358" max="14358" width="5.140625" style="2" customWidth="1"/>
    <col min="14359" max="14603" width="11.42578125" style="2"/>
    <col min="14604" max="14604" width="2.5703125" style="2" customWidth="1"/>
    <col min="14605" max="14605" width="13.42578125" style="2" bestFit="1" customWidth="1"/>
    <col min="14606" max="14606" width="6.7109375" style="2" customWidth="1"/>
    <col min="14607" max="14607" width="14.7109375" style="2" customWidth="1"/>
    <col min="14608" max="14608" width="4.85546875" style="2" bestFit="1" customWidth="1"/>
    <col min="14609" max="14609" width="7.7109375" style="2" customWidth="1"/>
    <col min="14610" max="14610" width="3.85546875" style="2" customWidth="1"/>
    <col min="14611" max="14611" width="11.42578125" style="2"/>
    <col min="14612" max="14612" width="13.42578125" style="2" bestFit="1" customWidth="1"/>
    <col min="14613" max="14613" width="7.7109375" style="2" customWidth="1"/>
    <col min="14614" max="14614" width="5.140625" style="2" customWidth="1"/>
    <col min="14615" max="14859" width="11.42578125" style="2"/>
    <col min="14860" max="14860" width="2.5703125" style="2" customWidth="1"/>
    <col min="14861" max="14861" width="13.42578125" style="2" bestFit="1" customWidth="1"/>
    <col min="14862" max="14862" width="6.7109375" style="2" customWidth="1"/>
    <col min="14863" max="14863" width="14.7109375" style="2" customWidth="1"/>
    <col min="14864" max="14864" width="4.85546875" style="2" bestFit="1" customWidth="1"/>
    <col min="14865" max="14865" width="7.7109375" style="2" customWidth="1"/>
    <col min="14866" max="14866" width="3.85546875" style="2" customWidth="1"/>
    <col min="14867" max="14867" width="11.42578125" style="2"/>
    <col min="14868" max="14868" width="13.42578125" style="2" bestFit="1" customWidth="1"/>
    <col min="14869" max="14869" width="7.7109375" style="2" customWidth="1"/>
    <col min="14870" max="14870" width="5.140625" style="2" customWidth="1"/>
    <col min="14871" max="15115" width="11.42578125" style="2"/>
    <col min="15116" max="15116" width="2.5703125" style="2" customWidth="1"/>
    <col min="15117" max="15117" width="13.42578125" style="2" bestFit="1" customWidth="1"/>
    <col min="15118" max="15118" width="6.7109375" style="2" customWidth="1"/>
    <col min="15119" max="15119" width="14.7109375" style="2" customWidth="1"/>
    <col min="15120" max="15120" width="4.85546875" style="2" bestFit="1" customWidth="1"/>
    <col min="15121" max="15121" width="7.7109375" style="2" customWidth="1"/>
    <col min="15122" max="15122" width="3.85546875" style="2" customWidth="1"/>
    <col min="15123" max="15123" width="11.42578125" style="2"/>
    <col min="15124" max="15124" width="13.42578125" style="2" bestFit="1" customWidth="1"/>
    <col min="15125" max="15125" width="7.7109375" style="2" customWidth="1"/>
    <col min="15126" max="15126" width="5.140625" style="2" customWidth="1"/>
    <col min="15127" max="15371" width="11.42578125" style="2"/>
    <col min="15372" max="15372" width="2.5703125" style="2" customWidth="1"/>
    <col min="15373" max="15373" width="13.42578125" style="2" bestFit="1" customWidth="1"/>
    <col min="15374" max="15374" width="6.7109375" style="2" customWidth="1"/>
    <col min="15375" max="15375" width="14.7109375" style="2" customWidth="1"/>
    <col min="15376" max="15376" width="4.85546875" style="2" bestFit="1" customWidth="1"/>
    <col min="15377" max="15377" width="7.7109375" style="2" customWidth="1"/>
    <col min="15378" max="15378" width="3.85546875" style="2" customWidth="1"/>
    <col min="15379" max="15379" width="11.42578125" style="2"/>
    <col min="15380" max="15380" width="13.42578125" style="2" bestFit="1" customWidth="1"/>
    <col min="15381" max="15381" width="7.7109375" style="2" customWidth="1"/>
    <col min="15382" max="15382" width="5.140625" style="2" customWidth="1"/>
    <col min="15383" max="16384" width="11.42578125" style="2"/>
  </cols>
  <sheetData>
    <row r="1" spans="3:15" ht="77.25" customHeight="1" thickBot="1" x14ac:dyDescent="0.3">
      <c r="C1" s="1"/>
      <c r="D1" s="370" t="s">
        <v>203</v>
      </c>
      <c r="E1" s="371"/>
      <c r="F1" s="371"/>
      <c r="G1" s="371"/>
      <c r="H1" s="371"/>
      <c r="I1" s="372"/>
      <c r="J1" s="452"/>
      <c r="K1" s="373"/>
      <c r="L1" s="374"/>
    </row>
    <row r="2" spans="3:15" ht="0.75" customHeight="1" thickBot="1" x14ac:dyDescent="0.3">
      <c r="C2" s="1"/>
      <c r="D2" s="80"/>
      <c r="E2" s="80"/>
      <c r="F2" s="80"/>
      <c r="G2" s="80"/>
      <c r="H2" s="80"/>
      <c r="I2" s="105"/>
      <c r="J2" s="82"/>
      <c r="K2" s="82"/>
      <c r="L2" s="82"/>
    </row>
    <row r="3" spans="3:15" ht="15.75" customHeight="1" thickBot="1" x14ac:dyDescent="0.25">
      <c r="C3" s="552" t="s">
        <v>0</v>
      </c>
      <c r="D3" s="553"/>
      <c r="E3" s="553"/>
      <c r="F3" s="553"/>
      <c r="G3" s="553"/>
      <c r="H3" s="553"/>
      <c r="I3" s="554"/>
      <c r="J3" s="557" t="s">
        <v>1</v>
      </c>
      <c r="K3" s="558"/>
      <c r="L3" s="555">
        <v>19</v>
      </c>
      <c r="N3" s="85" t="s">
        <v>113</v>
      </c>
      <c r="O3" s="86">
        <v>3</v>
      </c>
    </row>
    <row r="4" spans="3:15" ht="15.75" customHeight="1" thickBot="1" x14ac:dyDescent="0.25">
      <c r="C4" s="552" t="s">
        <v>135</v>
      </c>
      <c r="D4" s="553"/>
      <c r="E4" s="553"/>
      <c r="F4" s="553"/>
      <c r="G4" s="553"/>
      <c r="H4" s="553"/>
      <c r="I4" s="554"/>
      <c r="J4" s="559"/>
      <c r="K4" s="560"/>
      <c r="L4" s="556"/>
      <c r="N4" s="84" t="s">
        <v>114</v>
      </c>
      <c r="O4" s="83">
        <v>3</v>
      </c>
    </row>
    <row r="5" spans="3:15" ht="12.75" customHeight="1" x14ac:dyDescent="0.2">
      <c r="C5" s="523" t="s">
        <v>56</v>
      </c>
      <c r="D5" s="524"/>
      <c r="E5" s="527" t="s">
        <v>2</v>
      </c>
      <c r="F5" s="528"/>
      <c r="G5" s="531" t="s">
        <v>80</v>
      </c>
      <c r="H5" s="532"/>
      <c r="I5" s="532"/>
      <c r="J5" s="532"/>
      <c r="K5" s="532"/>
      <c r="L5" s="533"/>
    </row>
    <row r="6" spans="3:15" x14ac:dyDescent="0.2">
      <c r="C6" s="525"/>
      <c r="D6" s="526"/>
      <c r="E6" s="529"/>
      <c r="F6" s="530"/>
      <c r="G6" s="534"/>
      <c r="H6" s="535"/>
      <c r="I6" s="535"/>
      <c r="J6" s="535"/>
      <c r="K6" s="535"/>
      <c r="L6" s="536"/>
    </row>
    <row r="7" spans="3:15" x14ac:dyDescent="0.2">
      <c r="C7" s="65" t="s">
        <v>3</v>
      </c>
      <c r="D7" s="537" t="str">
        <f>VLOOKUP(L3,[1]PMP_2025!$C$142:$R$173,4,FALSE)</f>
        <v>Imagenología</v>
      </c>
      <c r="E7" s="538"/>
      <c r="F7" s="538"/>
      <c r="G7" s="538"/>
      <c r="H7" s="538"/>
      <c r="I7" s="539"/>
      <c r="J7" s="66" t="s">
        <v>81</v>
      </c>
      <c r="K7" s="540" t="str">
        <f>VLOOKUP(L3,[1]PMP_2025!$C$142:$R$173,10,FALSE)</f>
        <v>AMTK00245</v>
      </c>
      <c r="L7" s="541"/>
    </row>
    <row r="8" spans="3:15" ht="12.75" customHeight="1" x14ac:dyDescent="0.2">
      <c r="C8" s="65" t="s">
        <v>58</v>
      </c>
      <c r="D8" s="537" t="str">
        <f>VLOOKUP(L3,[1]PMP_2025!$C$142:$R$173,3,FALSE)</f>
        <v>Máquina de Anestesia</v>
      </c>
      <c r="E8" s="538"/>
      <c r="F8" s="538"/>
      <c r="G8" s="538"/>
      <c r="H8" s="538"/>
      <c r="I8" s="539"/>
      <c r="J8" s="66" t="s">
        <v>6</v>
      </c>
      <c r="K8" s="542" t="str">
        <f>VLOOKUP(L3,[1]PMP_2025!$C$142:$R$173,2,FALSE)</f>
        <v>2-024253</v>
      </c>
      <c r="L8" s="543"/>
    </row>
    <row r="9" spans="3:15" ht="13.5" thickBot="1" x14ac:dyDescent="0.25">
      <c r="C9" s="67" t="s">
        <v>4</v>
      </c>
      <c r="D9" s="544" t="str">
        <f>VLOOKUP(L3,[1]PMP_2025!$C$142:$R$173,8,FALSE)</f>
        <v xml:space="preserve">Datex Ohmeda </v>
      </c>
      <c r="E9" s="545"/>
      <c r="F9" s="546" t="s">
        <v>5</v>
      </c>
      <c r="G9" s="547"/>
      <c r="H9" s="548" t="str">
        <f>VLOOKUP(L3,[1]PMP_2025!$C$142:$R$173,9,FALSE)</f>
        <v>Aestiva/5 MRI</v>
      </c>
      <c r="I9" s="549"/>
      <c r="J9" s="68" t="s">
        <v>8</v>
      </c>
      <c r="K9" s="550"/>
      <c r="L9" s="551"/>
    </row>
    <row r="10" spans="3:15" ht="15.75" thickBot="1" x14ac:dyDescent="0.3">
      <c r="C10" s="418" t="s">
        <v>61</v>
      </c>
      <c r="D10" s="419"/>
      <c r="E10" s="419"/>
      <c r="F10" s="419"/>
      <c r="G10" s="419"/>
      <c r="H10" s="419"/>
      <c r="I10" s="419"/>
      <c r="J10" s="419"/>
      <c r="K10" s="419"/>
      <c r="L10" s="435"/>
    </row>
    <row r="11" spans="3:15" x14ac:dyDescent="0.2">
      <c r="C11" s="246" t="s">
        <v>10</v>
      </c>
      <c r="D11" s="247"/>
      <c r="E11" s="248"/>
      <c r="F11" s="226" t="s">
        <v>11</v>
      </c>
      <c r="G11" s="227"/>
      <c r="H11" s="228"/>
      <c r="I11" s="259" t="s">
        <v>12</v>
      </c>
      <c r="J11" s="515"/>
      <c r="K11" s="515"/>
      <c r="L11" s="516"/>
    </row>
    <row r="12" spans="3:15" x14ac:dyDescent="0.2">
      <c r="C12" s="520" t="s">
        <v>82</v>
      </c>
      <c r="D12" s="521"/>
      <c r="E12" s="522"/>
      <c r="F12" s="10" t="s">
        <v>14</v>
      </c>
      <c r="G12" s="10" t="s">
        <v>15</v>
      </c>
      <c r="H12" s="10" t="s">
        <v>16</v>
      </c>
      <c r="I12" s="229"/>
      <c r="J12" s="308"/>
      <c r="K12" s="308"/>
      <c r="L12" s="309"/>
    </row>
    <row r="13" spans="3:15" x14ac:dyDescent="0.2">
      <c r="C13" s="190" t="s">
        <v>83</v>
      </c>
      <c r="D13" s="215"/>
      <c r="E13" s="216"/>
      <c r="F13" s="10"/>
      <c r="G13" s="10"/>
      <c r="H13" s="10"/>
      <c r="I13" s="229"/>
      <c r="J13" s="308"/>
      <c r="K13" s="308"/>
      <c r="L13" s="309"/>
    </row>
    <row r="14" spans="3:15" x14ac:dyDescent="0.2">
      <c r="C14" s="190" t="s">
        <v>84</v>
      </c>
      <c r="D14" s="215"/>
      <c r="E14" s="216"/>
      <c r="F14" s="10"/>
      <c r="G14" s="10"/>
      <c r="H14" s="10"/>
      <c r="I14" s="229"/>
      <c r="J14" s="308"/>
      <c r="K14" s="308"/>
      <c r="L14" s="309"/>
    </row>
    <row r="15" spans="3:15" x14ac:dyDescent="0.2">
      <c r="C15" s="520" t="s">
        <v>85</v>
      </c>
      <c r="D15" s="521"/>
      <c r="E15" s="522"/>
      <c r="F15" s="10" t="s">
        <v>14</v>
      </c>
      <c r="G15" s="10" t="s">
        <v>15</v>
      </c>
      <c r="H15" s="10" t="s">
        <v>16</v>
      </c>
      <c r="I15" s="229"/>
      <c r="J15" s="308"/>
      <c r="K15" s="308"/>
      <c r="L15" s="309"/>
    </row>
    <row r="16" spans="3:15" x14ac:dyDescent="0.2">
      <c r="C16" s="493" t="s">
        <v>126</v>
      </c>
      <c r="D16" s="494"/>
      <c r="E16" s="495"/>
      <c r="F16" s="10"/>
      <c r="G16" s="10"/>
      <c r="H16" s="10"/>
      <c r="I16" s="229"/>
      <c r="J16" s="308"/>
      <c r="K16" s="308"/>
      <c r="L16" s="309"/>
    </row>
    <row r="17" spans="3:12" x14ac:dyDescent="0.2">
      <c r="C17" s="190" t="s">
        <v>127</v>
      </c>
      <c r="D17" s="215"/>
      <c r="E17" s="216"/>
      <c r="F17" s="10"/>
      <c r="G17" s="10"/>
      <c r="H17" s="10"/>
      <c r="I17" s="229"/>
      <c r="J17" s="308"/>
      <c r="K17" s="308"/>
      <c r="L17" s="309"/>
    </row>
    <row r="18" spans="3:12" x14ac:dyDescent="0.2">
      <c r="C18" s="190" t="s">
        <v>160</v>
      </c>
      <c r="D18" s="215"/>
      <c r="E18" s="216"/>
      <c r="F18" s="10"/>
      <c r="G18" s="10"/>
      <c r="H18" s="10"/>
      <c r="I18" s="229"/>
      <c r="J18" s="308"/>
      <c r="K18" s="308"/>
      <c r="L18" s="309"/>
    </row>
    <row r="19" spans="3:12" x14ac:dyDescent="0.2">
      <c r="C19" s="517" t="s">
        <v>165</v>
      </c>
      <c r="D19" s="518"/>
      <c r="E19" s="519"/>
      <c r="F19" s="10"/>
      <c r="G19" s="10"/>
      <c r="H19" s="10"/>
      <c r="I19" s="229"/>
      <c r="J19" s="308"/>
      <c r="K19" s="308"/>
      <c r="L19" s="309"/>
    </row>
    <row r="20" spans="3:12" x14ac:dyDescent="0.2">
      <c r="C20" s="490" t="s">
        <v>86</v>
      </c>
      <c r="D20" s="491"/>
      <c r="E20" s="414"/>
      <c r="F20" s="10" t="s">
        <v>14</v>
      </c>
      <c r="G20" s="10" t="s">
        <v>15</v>
      </c>
      <c r="H20" s="10" t="s">
        <v>16</v>
      </c>
      <c r="I20" s="483"/>
      <c r="J20" s="323"/>
      <c r="K20" s="323"/>
      <c r="L20" s="410"/>
    </row>
    <row r="21" spans="3:12" ht="13.5" thickBot="1" x14ac:dyDescent="0.25">
      <c r="C21" s="230" t="s">
        <v>87</v>
      </c>
      <c r="D21" s="217"/>
      <c r="E21" s="218"/>
      <c r="F21" s="104"/>
      <c r="G21" s="103"/>
      <c r="H21" s="103"/>
      <c r="I21" s="232"/>
      <c r="J21" s="511"/>
      <c r="K21" s="511"/>
      <c r="L21" s="512"/>
    </row>
    <row r="22" spans="3:12" ht="13.5" thickBot="1" x14ac:dyDescent="0.25">
      <c r="C22" s="375" t="s">
        <v>34</v>
      </c>
      <c r="D22" s="244"/>
      <c r="E22" s="244"/>
      <c r="F22" s="244"/>
      <c r="G22" s="244"/>
      <c r="H22" s="244"/>
      <c r="I22" s="244"/>
      <c r="J22" s="244"/>
      <c r="K22" s="244"/>
      <c r="L22" s="245"/>
    </row>
    <row r="23" spans="3:12" x14ac:dyDescent="0.2">
      <c r="C23" s="513" t="s">
        <v>88</v>
      </c>
      <c r="D23" s="514"/>
      <c r="E23" s="412"/>
      <c r="F23" s="226" t="s">
        <v>37</v>
      </c>
      <c r="G23" s="228"/>
      <c r="H23" s="11" t="s">
        <v>16</v>
      </c>
      <c r="I23" s="259" t="s">
        <v>12</v>
      </c>
      <c r="J23" s="515"/>
      <c r="K23" s="515"/>
      <c r="L23" s="516"/>
    </row>
    <row r="24" spans="3:12" x14ac:dyDescent="0.2">
      <c r="C24" s="190" t="s">
        <v>116</v>
      </c>
      <c r="D24" s="215"/>
      <c r="E24" s="216"/>
      <c r="F24" s="229"/>
      <c r="G24" s="409"/>
      <c r="H24" s="71"/>
      <c r="I24" s="262"/>
      <c r="J24" s="421"/>
      <c r="K24" s="421"/>
      <c r="L24" s="484"/>
    </row>
    <row r="25" spans="3:12" x14ac:dyDescent="0.2">
      <c r="C25" s="190" t="s">
        <v>89</v>
      </c>
      <c r="D25" s="215"/>
      <c r="E25" s="216"/>
      <c r="F25" s="229"/>
      <c r="G25" s="409"/>
      <c r="H25" s="71"/>
      <c r="I25" s="262"/>
      <c r="J25" s="421"/>
      <c r="K25" s="421"/>
      <c r="L25" s="484"/>
    </row>
    <row r="26" spans="3:12" x14ac:dyDescent="0.2">
      <c r="C26" s="190" t="s">
        <v>115</v>
      </c>
      <c r="D26" s="215"/>
      <c r="E26" s="216"/>
      <c r="F26" s="229"/>
      <c r="G26" s="409"/>
      <c r="H26" s="71"/>
      <c r="I26" s="262"/>
      <c r="J26" s="421"/>
      <c r="K26" s="421"/>
      <c r="L26" s="484"/>
    </row>
    <row r="27" spans="3:12" x14ac:dyDescent="0.2">
      <c r="C27" s="190" t="s">
        <v>118</v>
      </c>
      <c r="D27" s="215"/>
      <c r="E27" s="216"/>
      <c r="F27" s="229"/>
      <c r="G27" s="409"/>
      <c r="H27" s="71"/>
      <c r="I27" s="262"/>
      <c r="J27" s="421"/>
      <c r="K27" s="421"/>
      <c r="L27" s="484"/>
    </row>
    <row r="28" spans="3:12" x14ac:dyDescent="0.2">
      <c r="C28" s="407" t="s">
        <v>208</v>
      </c>
      <c r="D28" s="353"/>
      <c r="E28" s="354"/>
      <c r="F28" s="229"/>
      <c r="G28" s="409"/>
      <c r="H28" s="71"/>
      <c r="I28" s="262"/>
      <c r="J28" s="421"/>
      <c r="K28" s="421"/>
      <c r="L28" s="484"/>
    </row>
    <row r="29" spans="3:12" x14ac:dyDescent="0.2">
      <c r="C29" s="190" t="s">
        <v>209</v>
      </c>
      <c r="D29" s="215"/>
      <c r="E29" s="216"/>
      <c r="F29" s="229"/>
      <c r="G29" s="409"/>
      <c r="H29" s="71"/>
      <c r="I29" s="262"/>
      <c r="J29" s="421"/>
      <c r="K29" s="421"/>
      <c r="L29" s="484"/>
    </row>
    <row r="30" spans="3:12" ht="13.5" thickBot="1" x14ac:dyDescent="0.25">
      <c r="C30" s="230" t="s">
        <v>210</v>
      </c>
      <c r="D30" s="217"/>
      <c r="E30" s="218"/>
      <c r="F30" s="232"/>
      <c r="G30" s="562"/>
      <c r="H30" s="96"/>
      <c r="I30" s="423"/>
      <c r="J30" s="424"/>
      <c r="K30" s="424"/>
      <c r="L30" s="561"/>
    </row>
    <row r="31" spans="3:12" ht="12.75" customHeight="1" x14ac:dyDescent="0.2">
      <c r="C31" s="191" t="s">
        <v>92</v>
      </c>
      <c r="D31" s="193"/>
      <c r="E31" s="563" t="s">
        <v>117</v>
      </c>
      <c r="F31" s="466" t="s">
        <v>90</v>
      </c>
      <c r="G31" s="467"/>
      <c r="H31" s="566"/>
      <c r="I31" s="568"/>
      <c r="J31" s="227"/>
      <c r="K31" s="227"/>
      <c r="L31" s="569"/>
    </row>
    <row r="32" spans="3:12" ht="13.5" thickBot="1" x14ac:dyDescent="0.25">
      <c r="C32" s="194"/>
      <c r="D32" s="196"/>
      <c r="E32" s="564"/>
      <c r="F32" s="468"/>
      <c r="G32" s="469"/>
      <c r="H32" s="567"/>
      <c r="I32" s="570"/>
      <c r="J32" s="308"/>
      <c r="K32" s="308"/>
      <c r="L32" s="309"/>
    </row>
    <row r="33" spans="3:12" ht="12.75" customHeight="1" x14ac:dyDescent="0.2">
      <c r="C33" s="194"/>
      <c r="D33" s="196"/>
      <c r="E33" s="564"/>
      <c r="F33" s="466" t="s">
        <v>91</v>
      </c>
      <c r="G33" s="467"/>
      <c r="H33" s="236"/>
      <c r="I33" s="570"/>
      <c r="J33" s="308"/>
      <c r="K33" s="308"/>
      <c r="L33" s="309"/>
    </row>
    <row r="34" spans="3:12" ht="13.5" thickBot="1" x14ac:dyDescent="0.25">
      <c r="C34" s="194"/>
      <c r="D34" s="196"/>
      <c r="E34" s="565"/>
      <c r="F34" s="468"/>
      <c r="G34" s="469"/>
      <c r="H34" s="208"/>
      <c r="I34" s="571"/>
      <c r="J34" s="511"/>
      <c r="K34" s="511"/>
      <c r="L34" s="512"/>
    </row>
    <row r="35" spans="3:12" ht="12.75" customHeight="1" x14ac:dyDescent="0.2">
      <c r="C35" s="194"/>
      <c r="D35" s="196"/>
      <c r="E35" s="479" t="s">
        <v>207</v>
      </c>
      <c r="F35" s="191" t="s">
        <v>199</v>
      </c>
      <c r="G35" s="192"/>
      <c r="H35" s="192"/>
      <c r="I35" s="193"/>
      <c r="J35" s="191" t="s">
        <v>93</v>
      </c>
      <c r="K35" s="192"/>
      <c r="L35" s="193"/>
    </row>
    <row r="36" spans="3:12" x14ac:dyDescent="0.2">
      <c r="C36" s="194"/>
      <c r="D36" s="196"/>
      <c r="E36" s="480"/>
      <c r="F36" s="194"/>
      <c r="G36" s="195"/>
      <c r="H36" s="195"/>
      <c r="I36" s="196"/>
      <c r="J36" s="194"/>
      <c r="K36" s="195"/>
      <c r="L36" s="196"/>
    </row>
    <row r="37" spans="3:12" x14ac:dyDescent="0.2">
      <c r="C37" s="194"/>
      <c r="D37" s="196"/>
      <c r="E37" s="480"/>
      <c r="F37" s="194"/>
      <c r="G37" s="195"/>
      <c r="H37" s="195"/>
      <c r="I37" s="196"/>
      <c r="J37" s="194"/>
      <c r="K37" s="195"/>
      <c r="L37" s="196"/>
    </row>
    <row r="38" spans="3:12" ht="43.5" customHeight="1" thickBot="1" x14ac:dyDescent="0.25">
      <c r="C38" s="197"/>
      <c r="D38" s="199"/>
      <c r="E38" s="481"/>
      <c r="F38" s="197"/>
      <c r="G38" s="198"/>
      <c r="H38" s="198"/>
      <c r="I38" s="199"/>
      <c r="J38" s="197"/>
      <c r="K38" s="198"/>
      <c r="L38" s="199"/>
    </row>
  </sheetData>
  <mergeCells count="79">
    <mergeCell ref="C30:E30"/>
    <mergeCell ref="I30:L30"/>
    <mergeCell ref="F30:G30"/>
    <mergeCell ref="C31:D38"/>
    <mergeCell ref="E31:E34"/>
    <mergeCell ref="F31:G32"/>
    <mergeCell ref="H31:H32"/>
    <mergeCell ref="I31:L31"/>
    <mergeCell ref="I32:L32"/>
    <mergeCell ref="F33:G34"/>
    <mergeCell ref="H33:H34"/>
    <mergeCell ref="I33:L33"/>
    <mergeCell ref="I34:L34"/>
    <mergeCell ref="E35:E38"/>
    <mergeCell ref="F35:I38"/>
    <mergeCell ref="J35:L38"/>
    <mergeCell ref="D1:I1"/>
    <mergeCell ref="J1:L1"/>
    <mergeCell ref="C3:I3"/>
    <mergeCell ref="C4:I4"/>
    <mergeCell ref="L3:L4"/>
    <mergeCell ref="J3:K4"/>
    <mergeCell ref="C11:E11"/>
    <mergeCell ref="F11:H11"/>
    <mergeCell ref="I11:L11"/>
    <mergeCell ref="C5:D6"/>
    <mergeCell ref="E5:F6"/>
    <mergeCell ref="G5:L6"/>
    <mergeCell ref="D7:I7"/>
    <mergeCell ref="K7:L7"/>
    <mergeCell ref="D8:I8"/>
    <mergeCell ref="K8:L8"/>
    <mergeCell ref="D9:E9"/>
    <mergeCell ref="F9:G9"/>
    <mergeCell ref="H9:I9"/>
    <mergeCell ref="K9:L9"/>
    <mergeCell ref="C10:L10"/>
    <mergeCell ref="C12:E12"/>
    <mergeCell ref="I12:L12"/>
    <mergeCell ref="C13:E13"/>
    <mergeCell ref="I13:L13"/>
    <mergeCell ref="C14:E14"/>
    <mergeCell ref="I14:L14"/>
    <mergeCell ref="C15:E15"/>
    <mergeCell ref="I15:L15"/>
    <mergeCell ref="C16:E16"/>
    <mergeCell ref="I16:L16"/>
    <mergeCell ref="C17:E17"/>
    <mergeCell ref="I17:L17"/>
    <mergeCell ref="C18:E18"/>
    <mergeCell ref="I18:L18"/>
    <mergeCell ref="C19:E19"/>
    <mergeCell ref="I19:L19"/>
    <mergeCell ref="C20:E20"/>
    <mergeCell ref="I20:L20"/>
    <mergeCell ref="C21:E21"/>
    <mergeCell ref="I21:L21"/>
    <mergeCell ref="C22:L22"/>
    <mergeCell ref="C23:E23"/>
    <mergeCell ref="F23:G23"/>
    <mergeCell ref="I23:L23"/>
    <mergeCell ref="C24:E24"/>
    <mergeCell ref="F24:G24"/>
    <mergeCell ref="I24:L24"/>
    <mergeCell ref="C25:E25"/>
    <mergeCell ref="F25:G25"/>
    <mergeCell ref="I25:L25"/>
    <mergeCell ref="C27:E27"/>
    <mergeCell ref="F27:G27"/>
    <mergeCell ref="I27:L27"/>
    <mergeCell ref="C26:E26"/>
    <mergeCell ref="F26:G26"/>
    <mergeCell ref="I26:L26"/>
    <mergeCell ref="C29:E29"/>
    <mergeCell ref="F29:G29"/>
    <mergeCell ref="I29:L29"/>
    <mergeCell ref="C28:E28"/>
    <mergeCell ref="F28:G28"/>
    <mergeCell ref="I28:L28"/>
  </mergeCells>
  <conditionalFormatting sqref="D7:I8 D9:E9 H9:I9 K7:L8">
    <cfRule type="cellIs" dxfId="3" priority="1" operator="equal">
      <formula>0</formula>
    </cfRule>
  </conditionalFormatting>
  <pageMargins left="0.25" right="0.25" top="0.75" bottom="0.75" header="0.3" footer="0.3"/>
  <pageSetup scale="95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13</xdr:col>
                <xdr:colOff>304800</xdr:colOff>
                <xdr:row>5</xdr:row>
                <xdr:rowOff>19050</xdr:rowOff>
              </from>
              <to>
                <xdr:col>14</xdr:col>
                <xdr:colOff>495300</xdr:colOff>
                <xdr:row>6</xdr:row>
                <xdr:rowOff>123825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>
    <tabColor rgb="FF00B050"/>
    <pageSetUpPr fitToPage="1"/>
  </sheetPr>
  <dimension ref="C1:O46"/>
  <sheetViews>
    <sheetView zoomScaleNormal="100" zoomScaleSheetLayoutView="110" workbookViewId="0">
      <selection activeCell="Q15" sqref="Q15"/>
    </sheetView>
  </sheetViews>
  <sheetFormatPr baseColWidth="10" defaultRowHeight="15" x14ac:dyDescent="0.25"/>
  <cols>
    <col min="1" max="2" width="0.85546875" customWidth="1"/>
    <col min="3" max="3" width="21.28515625" customWidth="1"/>
    <col min="4" max="6" width="7.85546875" customWidth="1"/>
    <col min="7" max="9" width="6.42578125" customWidth="1"/>
    <col min="10" max="10" width="8.7109375" customWidth="1"/>
    <col min="11" max="12" width="13.7109375" customWidth="1"/>
    <col min="13" max="13" width="2.7109375" customWidth="1"/>
    <col min="14" max="14" width="7.7109375" customWidth="1"/>
    <col min="15" max="16" width="5.7109375" customWidth="1"/>
    <col min="258" max="258" width="2.28515625" customWidth="1"/>
    <col min="259" max="259" width="21.28515625" customWidth="1"/>
    <col min="260" max="260" width="8.7109375" customWidth="1"/>
    <col min="261" max="261" width="7.7109375" customWidth="1"/>
    <col min="262" max="262" width="9.7109375" customWidth="1"/>
    <col min="263" max="264" width="5.7109375" customWidth="1"/>
    <col min="265" max="265" width="6.7109375" customWidth="1"/>
    <col min="266" max="266" width="11.85546875" customWidth="1"/>
    <col min="267" max="268" width="8.7109375" customWidth="1"/>
    <col min="514" max="514" width="2.28515625" customWidth="1"/>
    <col min="515" max="515" width="21.28515625" customWidth="1"/>
    <col min="516" max="516" width="8.7109375" customWidth="1"/>
    <col min="517" max="517" width="7.7109375" customWidth="1"/>
    <col min="518" max="518" width="9.7109375" customWidth="1"/>
    <col min="519" max="520" width="5.7109375" customWidth="1"/>
    <col min="521" max="521" width="6.7109375" customWidth="1"/>
    <col min="522" max="522" width="11.85546875" customWidth="1"/>
    <col min="523" max="524" width="8.7109375" customWidth="1"/>
    <col min="770" max="770" width="2.28515625" customWidth="1"/>
    <col min="771" max="771" width="21.28515625" customWidth="1"/>
    <col min="772" max="772" width="8.7109375" customWidth="1"/>
    <col min="773" max="773" width="7.7109375" customWidth="1"/>
    <col min="774" max="774" width="9.7109375" customWidth="1"/>
    <col min="775" max="776" width="5.7109375" customWidth="1"/>
    <col min="777" max="777" width="6.7109375" customWidth="1"/>
    <col min="778" max="778" width="11.85546875" customWidth="1"/>
    <col min="779" max="780" width="8.7109375" customWidth="1"/>
    <col min="1026" max="1026" width="2.28515625" customWidth="1"/>
    <col min="1027" max="1027" width="21.28515625" customWidth="1"/>
    <col min="1028" max="1028" width="8.7109375" customWidth="1"/>
    <col min="1029" max="1029" width="7.7109375" customWidth="1"/>
    <col min="1030" max="1030" width="9.7109375" customWidth="1"/>
    <col min="1031" max="1032" width="5.7109375" customWidth="1"/>
    <col min="1033" max="1033" width="6.7109375" customWidth="1"/>
    <col min="1034" max="1034" width="11.85546875" customWidth="1"/>
    <col min="1035" max="1036" width="8.7109375" customWidth="1"/>
    <col min="1282" max="1282" width="2.28515625" customWidth="1"/>
    <col min="1283" max="1283" width="21.28515625" customWidth="1"/>
    <col min="1284" max="1284" width="8.7109375" customWidth="1"/>
    <col min="1285" max="1285" width="7.7109375" customWidth="1"/>
    <col min="1286" max="1286" width="9.7109375" customWidth="1"/>
    <col min="1287" max="1288" width="5.7109375" customWidth="1"/>
    <col min="1289" max="1289" width="6.7109375" customWidth="1"/>
    <col min="1290" max="1290" width="11.85546875" customWidth="1"/>
    <col min="1291" max="1292" width="8.7109375" customWidth="1"/>
    <col min="1538" max="1538" width="2.28515625" customWidth="1"/>
    <col min="1539" max="1539" width="21.28515625" customWidth="1"/>
    <col min="1540" max="1540" width="8.7109375" customWidth="1"/>
    <col min="1541" max="1541" width="7.7109375" customWidth="1"/>
    <col min="1542" max="1542" width="9.7109375" customWidth="1"/>
    <col min="1543" max="1544" width="5.7109375" customWidth="1"/>
    <col min="1545" max="1545" width="6.7109375" customWidth="1"/>
    <col min="1546" max="1546" width="11.85546875" customWidth="1"/>
    <col min="1547" max="1548" width="8.7109375" customWidth="1"/>
    <col min="1794" max="1794" width="2.28515625" customWidth="1"/>
    <col min="1795" max="1795" width="21.28515625" customWidth="1"/>
    <col min="1796" max="1796" width="8.7109375" customWidth="1"/>
    <col min="1797" max="1797" width="7.7109375" customWidth="1"/>
    <col min="1798" max="1798" width="9.7109375" customWidth="1"/>
    <col min="1799" max="1800" width="5.7109375" customWidth="1"/>
    <col min="1801" max="1801" width="6.7109375" customWidth="1"/>
    <col min="1802" max="1802" width="11.85546875" customWidth="1"/>
    <col min="1803" max="1804" width="8.7109375" customWidth="1"/>
    <col min="2050" max="2050" width="2.28515625" customWidth="1"/>
    <col min="2051" max="2051" width="21.28515625" customWidth="1"/>
    <col min="2052" max="2052" width="8.7109375" customWidth="1"/>
    <col min="2053" max="2053" width="7.7109375" customWidth="1"/>
    <col min="2054" max="2054" width="9.7109375" customWidth="1"/>
    <col min="2055" max="2056" width="5.7109375" customWidth="1"/>
    <col min="2057" max="2057" width="6.7109375" customWidth="1"/>
    <col min="2058" max="2058" width="11.85546875" customWidth="1"/>
    <col min="2059" max="2060" width="8.7109375" customWidth="1"/>
    <col min="2306" max="2306" width="2.28515625" customWidth="1"/>
    <col min="2307" max="2307" width="21.28515625" customWidth="1"/>
    <col min="2308" max="2308" width="8.7109375" customWidth="1"/>
    <col min="2309" max="2309" width="7.7109375" customWidth="1"/>
    <col min="2310" max="2310" width="9.7109375" customWidth="1"/>
    <col min="2311" max="2312" width="5.7109375" customWidth="1"/>
    <col min="2313" max="2313" width="6.7109375" customWidth="1"/>
    <col min="2314" max="2314" width="11.85546875" customWidth="1"/>
    <col min="2315" max="2316" width="8.7109375" customWidth="1"/>
    <col min="2562" max="2562" width="2.28515625" customWidth="1"/>
    <col min="2563" max="2563" width="21.28515625" customWidth="1"/>
    <col min="2564" max="2564" width="8.7109375" customWidth="1"/>
    <col min="2565" max="2565" width="7.7109375" customWidth="1"/>
    <col min="2566" max="2566" width="9.7109375" customWidth="1"/>
    <col min="2567" max="2568" width="5.7109375" customWidth="1"/>
    <col min="2569" max="2569" width="6.7109375" customWidth="1"/>
    <col min="2570" max="2570" width="11.85546875" customWidth="1"/>
    <col min="2571" max="2572" width="8.7109375" customWidth="1"/>
    <col min="2818" max="2818" width="2.28515625" customWidth="1"/>
    <col min="2819" max="2819" width="21.28515625" customWidth="1"/>
    <col min="2820" max="2820" width="8.7109375" customWidth="1"/>
    <col min="2821" max="2821" width="7.7109375" customWidth="1"/>
    <col min="2822" max="2822" width="9.7109375" customWidth="1"/>
    <col min="2823" max="2824" width="5.7109375" customWidth="1"/>
    <col min="2825" max="2825" width="6.7109375" customWidth="1"/>
    <col min="2826" max="2826" width="11.85546875" customWidth="1"/>
    <col min="2827" max="2828" width="8.7109375" customWidth="1"/>
    <col min="3074" max="3074" width="2.28515625" customWidth="1"/>
    <col min="3075" max="3075" width="21.28515625" customWidth="1"/>
    <col min="3076" max="3076" width="8.7109375" customWidth="1"/>
    <col min="3077" max="3077" width="7.7109375" customWidth="1"/>
    <col min="3078" max="3078" width="9.7109375" customWidth="1"/>
    <col min="3079" max="3080" width="5.7109375" customWidth="1"/>
    <col min="3081" max="3081" width="6.7109375" customWidth="1"/>
    <col min="3082" max="3082" width="11.85546875" customWidth="1"/>
    <col min="3083" max="3084" width="8.7109375" customWidth="1"/>
    <col min="3330" max="3330" width="2.28515625" customWidth="1"/>
    <col min="3331" max="3331" width="21.28515625" customWidth="1"/>
    <col min="3332" max="3332" width="8.7109375" customWidth="1"/>
    <col min="3333" max="3333" width="7.7109375" customWidth="1"/>
    <col min="3334" max="3334" width="9.7109375" customWidth="1"/>
    <col min="3335" max="3336" width="5.7109375" customWidth="1"/>
    <col min="3337" max="3337" width="6.7109375" customWidth="1"/>
    <col min="3338" max="3338" width="11.85546875" customWidth="1"/>
    <col min="3339" max="3340" width="8.7109375" customWidth="1"/>
    <col min="3586" max="3586" width="2.28515625" customWidth="1"/>
    <col min="3587" max="3587" width="21.28515625" customWidth="1"/>
    <col min="3588" max="3588" width="8.7109375" customWidth="1"/>
    <col min="3589" max="3589" width="7.7109375" customWidth="1"/>
    <col min="3590" max="3590" width="9.7109375" customWidth="1"/>
    <col min="3591" max="3592" width="5.7109375" customWidth="1"/>
    <col min="3593" max="3593" width="6.7109375" customWidth="1"/>
    <col min="3594" max="3594" width="11.85546875" customWidth="1"/>
    <col min="3595" max="3596" width="8.7109375" customWidth="1"/>
    <col min="3842" max="3842" width="2.28515625" customWidth="1"/>
    <col min="3843" max="3843" width="21.28515625" customWidth="1"/>
    <col min="3844" max="3844" width="8.7109375" customWidth="1"/>
    <col min="3845" max="3845" width="7.7109375" customWidth="1"/>
    <col min="3846" max="3846" width="9.7109375" customWidth="1"/>
    <col min="3847" max="3848" width="5.7109375" customWidth="1"/>
    <col min="3849" max="3849" width="6.7109375" customWidth="1"/>
    <col min="3850" max="3850" width="11.85546875" customWidth="1"/>
    <col min="3851" max="3852" width="8.7109375" customWidth="1"/>
    <col min="4098" max="4098" width="2.28515625" customWidth="1"/>
    <col min="4099" max="4099" width="21.28515625" customWidth="1"/>
    <col min="4100" max="4100" width="8.7109375" customWidth="1"/>
    <col min="4101" max="4101" width="7.7109375" customWidth="1"/>
    <col min="4102" max="4102" width="9.7109375" customWidth="1"/>
    <col min="4103" max="4104" width="5.7109375" customWidth="1"/>
    <col min="4105" max="4105" width="6.7109375" customWidth="1"/>
    <col min="4106" max="4106" width="11.85546875" customWidth="1"/>
    <col min="4107" max="4108" width="8.7109375" customWidth="1"/>
    <col min="4354" max="4354" width="2.28515625" customWidth="1"/>
    <col min="4355" max="4355" width="21.28515625" customWidth="1"/>
    <col min="4356" max="4356" width="8.7109375" customWidth="1"/>
    <col min="4357" max="4357" width="7.7109375" customWidth="1"/>
    <col min="4358" max="4358" width="9.7109375" customWidth="1"/>
    <col min="4359" max="4360" width="5.7109375" customWidth="1"/>
    <col min="4361" max="4361" width="6.7109375" customWidth="1"/>
    <col min="4362" max="4362" width="11.85546875" customWidth="1"/>
    <col min="4363" max="4364" width="8.7109375" customWidth="1"/>
    <col min="4610" max="4610" width="2.28515625" customWidth="1"/>
    <col min="4611" max="4611" width="21.28515625" customWidth="1"/>
    <col min="4612" max="4612" width="8.7109375" customWidth="1"/>
    <col min="4613" max="4613" width="7.7109375" customWidth="1"/>
    <col min="4614" max="4614" width="9.7109375" customWidth="1"/>
    <col min="4615" max="4616" width="5.7109375" customWidth="1"/>
    <col min="4617" max="4617" width="6.7109375" customWidth="1"/>
    <col min="4618" max="4618" width="11.85546875" customWidth="1"/>
    <col min="4619" max="4620" width="8.7109375" customWidth="1"/>
    <col min="4866" max="4866" width="2.28515625" customWidth="1"/>
    <col min="4867" max="4867" width="21.28515625" customWidth="1"/>
    <col min="4868" max="4868" width="8.7109375" customWidth="1"/>
    <col min="4869" max="4869" width="7.7109375" customWidth="1"/>
    <col min="4870" max="4870" width="9.7109375" customWidth="1"/>
    <col min="4871" max="4872" width="5.7109375" customWidth="1"/>
    <col min="4873" max="4873" width="6.7109375" customWidth="1"/>
    <col min="4874" max="4874" width="11.85546875" customWidth="1"/>
    <col min="4875" max="4876" width="8.7109375" customWidth="1"/>
    <col min="5122" max="5122" width="2.28515625" customWidth="1"/>
    <col min="5123" max="5123" width="21.28515625" customWidth="1"/>
    <col min="5124" max="5124" width="8.7109375" customWidth="1"/>
    <col min="5125" max="5125" width="7.7109375" customWidth="1"/>
    <col min="5126" max="5126" width="9.7109375" customWidth="1"/>
    <col min="5127" max="5128" width="5.7109375" customWidth="1"/>
    <col min="5129" max="5129" width="6.7109375" customWidth="1"/>
    <col min="5130" max="5130" width="11.85546875" customWidth="1"/>
    <col min="5131" max="5132" width="8.7109375" customWidth="1"/>
    <col min="5378" max="5378" width="2.28515625" customWidth="1"/>
    <col min="5379" max="5379" width="21.28515625" customWidth="1"/>
    <col min="5380" max="5380" width="8.7109375" customWidth="1"/>
    <col min="5381" max="5381" width="7.7109375" customWidth="1"/>
    <col min="5382" max="5382" width="9.7109375" customWidth="1"/>
    <col min="5383" max="5384" width="5.7109375" customWidth="1"/>
    <col min="5385" max="5385" width="6.7109375" customWidth="1"/>
    <col min="5386" max="5386" width="11.85546875" customWidth="1"/>
    <col min="5387" max="5388" width="8.7109375" customWidth="1"/>
    <col min="5634" max="5634" width="2.28515625" customWidth="1"/>
    <col min="5635" max="5635" width="21.28515625" customWidth="1"/>
    <col min="5636" max="5636" width="8.7109375" customWidth="1"/>
    <col min="5637" max="5637" width="7.7109375" customWidth="1"/>
    <col min="5638" max="5638" width="9.7109375" customWidth="1"/>
    <col min="5639" max="5640" width="5.7109375" customWidth="1"/>
    <col min="5641" max="5641" width="6.7109375" customWidth="1"/>
    <col min="5642" max="5642" width="11.85546875" customWidth="1"/>
    <col min="5643" max="5644" width="8.7109375" customWidth="1"/>
    <col min="5890" max="5890" width="2.28515625" customWidth="1"/>
    <col min="5891" max="5891" width="21.28515625" customWidth="1"/>
    <col min="5892" max="5892" width="8.7109375" customWidth="1"/>
    <col min="5893" max="5893" width="7.7109375" customWidth="1"/>
    <col min="5894" max="5894" width="9.7109375" customWidth="1"/>
    <col min="5895" max="5896" width="5.7109375" customWidth="1"/>
    <col min="5897" max="5897" width="6.7109375" customWidth="1"/>
    <col min="5898" max="5898" width="11.85546875" customWidth="1"/>
    <col min="5899" max="5900" width="8.7109375" customWidth="1"/>
    <col min="6146" max="6146" width="2.28515625" customWidth="1"/>
    <col min="6147" max="6147" width="21.28515625" customWidth="1"/>
    <col min="6148" max="6148" width="8.7109375" customWidth="1"/>
    <col min="6149" max="6149" width="7.7109375" customWidth="1"/>
    <col min="6150" max="6150" width="9.7109375" customWidth="1"/>
    <col min="6151" max="6152" width="5.7109375" customWidth="1"/>
    <col min="6153" max="6153" width="6.7109375" customWidth="1"/>
    <col min="6154" max="6154" width="11.85546875" customWidth="1"/>
    <col min="6155" max="6156" width="8.7109375" customWidth="1"/>
    <col min="6402" max="6402" width="2.28515625" customWidth="1"/>
    <col min="6403" max="6403" width="21.28515625" customWidth="1"/>
    <col min="6404" max="6404" width="8.7109375" customWidth="1"/>
    <col min="6405" max="6405" width="7.7109375" customWidth="1"/>
    <col min="6406" max="6406" width="9.7109375" customWidth="1"/>
    <col min="6407" max="6408" width="5.7109375" customWidth="1"/>
    <col min="6409" max="6409" width="6.7109375" customWidth="1"/>
    <col min="6410" max="6410" width="11.85546875" customWidth="1"/>
    <col min="6411" max="6412" width="8.7109375" customWidth="1"/>
    <col min="6658" max="6658" width="2.28515625" customWidth="1"/>
    <col min="6659" max="6659" width="21.28515625" customWidth="1"/>
    <col min="6660" max="6660" width="8.7109375" customWidth="1"/>
    <col min="6661" max="6661" width="7.7109375" customWidth="1"/>
    <col min="6662" max="6662" width="9.7109375" customWidth="1"/>
    <col min="6663" max="6664" width="5.7109375" customWidth="1"/>
    <col min="6665" max="6665" width="6.7109375" customWidth="1"/>
    <col min="6666" max="6666" width="11.85546875" customWidth="1"/>
    <col min="6667" max="6668" width="8.7109375" customWidth="1"/>
    <col min="6914" max="6914" width="2.28515625" customWidth="1"/>
    <col min="6915" max="6915" width="21.28515625" customWidth="1"/>
    <col min="6916" max="6916" width="8.7109375" customWidth="1"/>
    <col min="6917" max="6917" width="7.7109375" customWidth="1"/>
    <col min="6918" max="6918" width="9.7109375" customWidth="1"/>
    <col min="6919" max="6920" width="5.7109375" customWidth="1"/>
    <col min="6921" max="6921" width="6.7109375" customWidth="1"/>
    <col min="6922" max="6922" width="11.85546875" customWidth="1"/>
    <col min="6923" max="6924" width="8.7109375" customWidth="1"/>
    <col min="7170" max="7170" width="2.28515625" customWidth="1"/>
    <col min="7171" max="7171" width="21.28515625" customWidth="1"/>
    <col min="7172" max="7172" width="8.7109375" customWidth="1"/>
    <col min="7173" max="7173" width="7.7109375" customWidth="1"/>
    <col min="7174" max="7174" width="9.7109375" customWidth="1"/>
    <col min="7175" max="7176" width="5.7109375" customWidth="1"/>
    <col min="7177" max="7177" width="6.7109375" customWidth="1"/>
    <col min="7178" max="7178" width="11.85546875" customWidth="1"/>
    <col min="7179" max="7180" width="8.7109375" customWidth="1"/>
    <col min="7426" max="7426" width="2.28515625" customWidth="1"/>
    <col min="7427" max="7427" width="21.28515625" customWidth="1"/>
    <col min="7428" max="7428" width="8.7109375" customWidth="1"/>
    <col min="7429" max="7429" width="7.7109375" customWidth="1"/>
    <col min="7430" max="7430" width="9.7109375" customWidth="1"/>
    <col min="7431" max="7432" width="5.7109375" customWidth="1"/>
    <col min="7433" max="7433" width="6.7109375" customWidth="1"/>
    <col min="7434" max="7434" width="11.85546875" customWidth="1"/>
    <col min="7435" max="7436" width="8.7109375" customWidth="1"/>
    <col min="7682" max="7682" width="2.28515625" customWidth="1"/>
    <col min="7683" max="7683" width="21.28515625" customWidth="1"/>
    <col min="7684" max="7684" width="8.7109375" customWidth="1"/>
    <col min="7685" max="7685" width="7.7109375" customWidth="1"/>
    <col min="7686" max="7686" width="9.7109375" customWidth="1"/>
    <col min="7687" max="7688" width="5.7109375" customWidth="1"/>
    <col min="7689" max="7689" width="6.7109375" customWidth="1"/>
    <col min="7690" max="7690" width="11.85546875" customWidth="1"/>
    <col min="7691" max="7692" width="8.7109375" customWidth="1"/>
    <col min="7938" max="7938" width="2.28515625" customWidth="1"/>
    <col min="7939" max="7939" width="21.28515625" customWidth="1"/>
    <col min="7940" max="7940" width="8.7109375" customWidth="1"/>
    <col min="7941" max="7941" width="7.7109375" customWidth="1"/>
    <col min="7942" max="7942" width="9.7109375" customWidth="1"/>
    <col min="7943" max="7944" width="5.7109375" customWidth="1"/>
    <col min="7945" max="7945" width="6.7109375" customWidth="1"/>
    <col min="7946" max="7946" width="11.85546875" customWidth="1"/>
    <col min="7947" max="7948" width="8.7109375" customWidth="1"/>
    <col min="8194" max="8194" width="2.28515625" customWidth="1"/>
    <col min="8195" max="8195" width="21.28515625" customWidth="1"/>
    <col min="8196" max="8196" width="8.7109375" customWidth="1"/>
    <col min="8197" max="8197" width="7.7109375" customWidth="1"/>
    <col min="8198" max="8198" width="9.7109375" customWidth="1"/>
    <col min="8199" max="8200" width="5.7109375" customWidth="1"/>
    <col min="8201" max="8201" width="6.7109375" customWidth="1"/>
    <col min="8202" max="8202" width="11.85546875" customWidth="1"/>
    <col min="8203" max="8204" width="8.7109375" customWidth="1"/>
    <col min="8450" max="8450" width="2.28515625" customWidth="1"/>
    <col min="8451" max="8451" width="21.28515625" customWidth="1"/>
    <col min="8452" max="8452" width="8.7109375" customWidth="1"/>
    <col min="8453" max="8453" width="7.7109375" customWidth="1"/>
    <col min="8454" max="8454" width="9.7109375" customWidth="1"/>
    <col min="8455" max="8456" width="5.7109375" customWidth="1"/>
    <col min="8457" max="8457" width="6.7109375" customWidth="1"/>
    <col min="8458" max="8458" width="11.85546875" customWidth="1"/>
    <col min="8459" max="8460" width="8.7109375" customWidth="1"/>
    <col min="8706" max="8706" width="2.28515625" customWidth="1"/>
    <col min="8707" max="8707" width="21.28515625" customWidth="1"/>
    <col min="8708" max="8708" width="8.7109375" customWidth="1"/>
    <col min="8709" max="8709" width="7.7109375" customWidth="1"/>
    <col min="8710" max="8710" width="9.7109375" customWidth="1"/>
    <col min="8711" max="8712" width="5.7109375" customWidth="1"/>
    <col min="8713" max="8713" width="6.7109375" customWidth="1"/>
    <col min="8714" max="8714" width="11.85546875" customWidth="1"/>
    <col min="8715" max="8716" width="8.7109375" customWidth="1"/>
    <col min="8962" max="8962" width="2.28515625" customWidth="1"/>
    <col min="8963" max="8963" width="21.28515625" customWidth="1"/>
    <col min="8964" max="8964" width="8.7109375" customWidth="1"/>
    <col min="8965" max="8965" width="7.7109375" customWidth="1"/>
    <col min="8966" max="8966" width="9.7109375" customWidth="1"/>
    <col min="8967" max="8968" width="5.7109375" customWidth="1"/>
    <col min="8969" max="8969" width="6.7109375" customWidth="1"/>
    <col min="8970" max="8970" width="11.85546875" customWidth="1"/>
    <col min="8971" max="8972" width="8.7109375" customWidth="1"/>
    <col min="9218" max="9218" width="2.28515625" customWidth="1"/>
    <col min="9219" max="9219" width="21.28515625" customWidth="1"/>
    <col min="9220" max="9220" width="8.7109375" customWidth="1"/>
    <col min="9221" max="9221" width="7.7109375" customWidth="1"/>
    <col min="9222" max="9222" width="9.7109375" customWidth="1"/>
    <col min="9223" max="9224" width="5.7109375" customWidth="1"/>
    <col min="9225" max="9225" width="6.7109375" customWidth="1"/>
    <col min="9226" max="9226" width="11.85546875" customWidth="1"/>
    <col min="9227" max="9228" width="8.7109375" customWidth="1"/>
    <col min="9474" max="9474" width="2.28515625" customWidth="1"/>
    <col min="9475" max="9475" width="21.28515625" customWidth="1"/>
    <col min="9476" max="9476" width="8.7109375" customWidth="1"/>
    <col min="9477" max="9477" width="7.7109375" customWidth="1"/>
    <col min="9478" max="9478" width="9.7109375" customWidth="1"/>
    <col min="9479" max="9480" width="5.7109375" customWidth="1"/>
    <col min="9481" max="9481" width="6.7109375" customWidth="1"/>
    <col min="9482" max="9482" width="11.85546875" customWidth="1"/>
    <col min="9483" max="9484" width="8.7109375" customWidth="1"/>
    <col min="9730" max="9730" width="2.28515625" customWidth="1"/>
    <col min="9731" max="9731" width="21.28515625" customWidth="1"/>
    <col min="9732" max="9732" width="8.7109375" customWidth="1"/>
    <col min="9733" max="9733" width="7.7109375" customWidth="1"/>
    <col min="9734" max="9734" width="9.7109375" customWidth="1"/>
    <col min="9735" max="9736" width="5.7109375" customWidth="1"/>
    <col min="9737" max="9737" width="6.7109375" customWidth="1"/>
    <col min="9738" max="9738" width="11.85546875" customWidth="1"/>
    <col min="9739" max="9740" width="8.7109375" customWidth="1"/>
    <col min="9986" max="9986" width="2.28515625" customWidth="1"/>
    <col min="9987" max="9987" width="21.28515625" customWidth="1"/>
    <col min="9988" max="9988" width="8.7109375" customWidth="1"/>
    <col min="9989" max="9989" width="7.7109375" customWidth="1"/>
    <col min="9990" max="9990" width="9.7109375" customWidth="1"/>
    <col min="9991" max="9992" width="5.7109375" customWidth="1"/>
    <col min="9993" max="9993" width="6.7109375" customWidth="1"/>
    <col min="9994" max="9994" width="11.85546875" customWidth="1"/>
    <col min="9995" max="9996" width="8.7109375" customWidth="1"/>
    <col min="10242" max="10242" width="2.28515625" customWidth="1"/>
    <col min="10243" max="10243" width="21.28515625" customWidth="1"/>
    <col min="10244" max="10244" width="8.7109375" customWidth="1"/>
    <col min="10245" max="10245" width="7.7109375" customWidth="1"/>
    <col min="10246" max="10246" width="9.7109375" customWidth="1"/>
    <col min="10247" max="10248" width="5.7109375" customWidth="1"/>
    <col min="10249" max="10249" width="6.7109375" customWidth="1"/>
    <col min="10250" max="10250" width="11.85546875" customWidth="1"/>
    <col min="10251" max="10252" width="8.7109375" customWidth="1"/>
    <col min="10498" max="10498" width="2.28515625" customWidth="1"/>
    <col min="10499" max="10499" width="21.28515625" customWidth="1"/>
    <col min="10500" max="10500" width="8.7109375" customWidth="1"/>
    <col min="10501" max="10501" width="7.7109375" customWidth="1"/>
    <col min="10502" max="10502" width="9.7109375" customWidth="1"/>
    <col min="10503" max="10504" width="5.7109375" customWidth="1"/>
    <col min="10505" max="10505" width="6.7109375" customWidth="1"/>
    <col min="10506" max="10506" width="11.85546875" customWidth="1"/>
    <col min="10507" max="10508" width="8.7109375" customWidth="1"/>
    <col min="10754" max="10754" width="2.28515625" customWidth="1"/>
    <col min="10755" max="10755" width="21.28515625" customWidth="1"/>
    <col min="10756" max="10756" width="8.7109375" customWidth="1"/>
    <col min="10757" max="10757" width="7.7109375" customWidth="1"/>
    <col min="10758" max="10758" width="9.7109375" customWidth="1"/>
    <col min="10759" max="10760" width="5.7109375" customWidth="1"/>
    <col min="10761" max="10761" width="6.7109375" customWidth="1"/>
    <col min="10762" max="10762" width="11.85546875" customWidth="1"/>
    <col min="10763" max="10764" width="8.7109375" customWidth="1"/>
    <col min="11010" max="11010" width="2.28515625" customWidth="1"/>
    <col min="11011" max="11011" width="21.28515625" customWidth="1"/>
    <col min="11012" max="11012" width="8.7109375" customWidth="1"/>
    <col min="11013" max="11013" width="7.7109375" customWidth="1"/>
    <col min="11014" max="11014" width="9.7109375" customWidth="1"/>
    <col min="11015" max="11016" width="5.7109375" customWidth="1"/>
    <col min="11017" max="11017" width="6.7109375" customWidth="1"/>
    <col min="11018" max="11018" width="11.85546875" customWidth="1"/>
    <col min="11019" max="11020" width="8.7109375" customWidth="1"/>
    <col min="11266" max="11266" width="2.28515625" customWidth="1"/>
    <col min="11267" max="11267" width="21.28515625" customWidth="1"/>
    <col min="11268" max="11268" width="8.7109375" customWidth="1"/>
    <col min="11269" max="11269" width="7.7109375" customWidth="1"/>
    <col min="11270" max="11270" width="9.7109375" customWidth="1"/>
    <col min="11271" max="11272" width="5.7109375" customWidth="1"/>
    <col min="11273" max="11273" width="6.7109375" customWidth="1"/>
    <col min="11274" max="11274" width="11.85546875" customWidth="1"/>
    <col min="11275" max="11276" width="8.7109375" customWidth="1"/>
    <col min="11522" max="11522" width="2.28515625" customWidth="1"/>
    <col min="11523" max="11523" width="21.28515625" customWidth="1"/>
    <col min="11524" max="11524" width="8.7109375" customWidth="1"/>
    <col min="11525" max="11525" width="7.7109375" customWidth="1"/>
    <col min="11526" max="11526" width="9.7109375" customWidth="1"/>
    <col min="11527" max="11528" width="5.7109375" customWidth="1"/>
    <col min="11529" max="11529" width="6.7109375" customWidth="1"/>
    <col min="11530" max="11530" width="11.85546875" customWidth="1"/>
    <col min="11531" max="11532" width="8.7109375" customWidth="1"/>
    <col min="11778" max="11778" width="2.28515625" customWidth="1"/>
    <col min="11779" max="11779" width="21.28515625" customWidth="1"/>
    <col min="11780" max="11780" width="8.7109375" customWidth="1"/>
    <col min="11781" max="11781" width="7.7109375" customWidth="1"/>
    <col min="11782" max="11782" width="9.7109375" customWidth="1"/>
    <col min="11783" max="11784" width="5.7109375" customWidth="1"/>
    <col min="11785" max="11785" width="6.7109375" customWidth="1"/>
    <col min="11786" max="11786" width="11.85546875" customWidth="1"/>
    <col min="11787" max="11788" width="8.7109375" customWidth="1"/>
    <col min="12034" max="12034" width="2.28515625" customWidth="1"/>
    <col min="12035" max="12035" width="21.28515625" customWidth="1"/>
    <col min="12036" max="12036" width="8.7109375" customWidth="1"/>
    <col min="12037" max="12037" width="7.7109375" customWidth="1"/>
    <col min="12038" max="12038" width="9.7109375" customWidth="1"/>
    <col min="12039" max="12040" width="5.7109375" customWidth="1"/>
    <col min="12041" max="12041" width="6.7109375" customWidth="1"/>
    <col min="12042" max="12042" width="11.85546875" customWidth="1"/>
    <col min="12043" max="12044" width="8.7109375" customWidth="1"/>
    <col min="12290" max="12290" width="2.28515625" customWidth="1"/>
    <col min="12291" max="12291" width="21.28515625" customWidth="1"/>
    <col min="12292" max="12292" width="8.7109375" customWidth="1"/>
    <col min="12293" max="12293" width="7.7109375" customWidth="1"/>
    <col min="12294" max="12294" width="9.7109375" customWidth="1"/>
    <col min="12295" max="12296" width="5.7109375" customWidth="1"/>
    <col min="12297" max="12297" width="6.7109375" customWidth="1"/>
    <col min="12298" max="12298" width="11.85546875" customWidth="1"/>
    <col min="12299" max="12300" width="8.7109375" customWidth="1"/>
    <col min="12546" max="12546" width="2.28515625" customWidth="1"/>
    <col min="12547" max="12547" width="21.28515625" customWidth="1"/>
    <col min="12548" max="12548" width="8.7109375" customWidth="1"/>
    <col min="12549" max="12549" width="7.7109375" customWidth="1"/>
    <col min="12550" max="12550" width="9.7109375" customWidth="1"/>
    <col min="12551" max="12552" width="5.7109375" customWidth="1"/>
    <col min="12553" max="12553" width="6.7109375" customWidth="1"/>
    <col min="12554" max="12554" width="11.85546875" customWidth="1"/>
    <col min="12555" max="12556" width="8.7109375" customWidth="1"/>
    <col min="12802" max="12802" width="2.28515625" customWidth="1"/>
    <col min="12803" max="12803" width="21.28515625" customWidth="1"/>
    <col min="12804" max="12804" width="8.7109375" customWidth="1"/>
    <col min="12805" max="12805" width="7.7109375" customWidth="1"/>
    <col min="12806" max="12806" width="9.7109375" customWidth="1"/>
    <col min="12807" max="12808" width="5.7109375" customWidth="1"/>
    <col min="12809" max="12809" width="6.7109375" customWidth="1"/>
    <col min="12810" max="12810" width="11.85546875" customWidth="1"/>
    <col min="12811" max="12812" width="8.7109375" customWidth="1"/>
    <col min="13058" max="13058" width="2.28515625" customWidth="1"/>
    <col min="13059" max="13059" width="21.28515625" customWidth="1"/>
    <col min="13060" max="13060" width="8.7109375" customWidth="1"/>
    <col min="13061" max="13061" width="7.7109375" customWidth="1"/>
    <col min="13062" max="13062" width="9.7109375" customWidth="1"/>
    <col min="13063" max="13064" width="5.7109375" customWidth="1"/>
    <col min="13065" max="13065" width="6.7109375" customWidth="1"/>
    <col min="13066" max="13066" width="11.85546875" customWidth="1"/>
    <col min="13067" max="13068" width="8.7109375" customWidth="1"/>
    <col min="13314" max="13314" width="2.28515625" customWidth="1"/>
    <col min="13315" max="13315" width="21.28515625" customWidth="1"/>
    <col min="13316" max="13316" width="8.7109375" customWidth="1"/>
    <col min="13317" max="13317" width="7.7109375" customWidth="1"/>
    <col min="13318" max="13318" width="9.7109375" customWidth="1"/>
    <col min="13319" max="13320" width="5.7109375" customWidth="1"/>
    <col min="13321" max="13321" width="6.7109375" customWidth="1"/>
    <col min="13322" max="13322" width="11.85546875" customWidth="1"/>
    <col min="13323" max="13324" width="8.7109375" customWidth="1"/>
    <col min="13570" max="13570" width="2.28515625" customWidth="1"/>
    <col min="13571" max="13571" width="21.28515625" customWidth="1"/>
    <col min="13572" max="13572" width="8.7109375" customWidth="1"/>
    <col min="13573" max="13573" width="7.7109375" customWidth="1"/>
    <col min="13574" max="13574" width="9.7109375" customWidth="1"/>
    <col min="13575" max="13576" width="5.7109375" customWidth="1"/>
    <col min="13577" max="13577" width="6.7109375" customWidth="1"/>
    <col min="13578" max="13578" width="11.85546875" customWidth="1"/>
    <col min="13579" max="13580" width="8.7109375" customWidth="1"/>
    <col min="13826" max="13826" width="2.28515625" customWidth="1"/>
    <col min="13827" max="13827" width="21.28515625" customWidth="1"/>
    <col min="13828" max="13828" width="8.7109375" customWidth="1"/>
    <col min="13829" max="13829" width="7.7109375" customWidth="1"/>
    <col min="13830" max="13830" width="9.7109375" customWidth="1"/>
    <col min="13831" max="13832" width="5.7109375" customWidth="1"/>
    <col min="13833" max="13833" width="6.7109375" customWidth="1"/>
    <col min="13834" max="13834" width="11.85546875" customWidth="1"/>
    <col min="13835" max="13836" width="8.7109375" customWidth="1"/>
    <col min="14082" max="14082" width="2.28515625" customWidth="1"/>
    <col min="14083" max="14083" width="21.28515625" customWidth="1"/>
    <col min="14084" max="14084" width="8.7109375" customWidth="1"/>
    <col min="14085" max="14085" width="7.7109375" customWidth="1"/>
    <col min="14086" max="14086" width="9.7109375" customWidth="1"/>
    <col min="14087" max="14088" width="5.7109375" customWidth="1"/>
    <col min="14089" max="14089" width="6.7109375" customWidth="1"/>
    <col min="14090" max="14090" width="11.85546875" customWidth="1"/>
    <col min="14091" max="14092" width="8.7109375" customWidth="1"/>
    <col min="14338" max="14338" width="2.28515625" customWidth="1"/>
    <col min="14339" max="14339" width="21.28515625" customWidth="1"/>
    <col min="14340" max="14340" width="8.7109375" customWidth="1"/>
    <col min="14341" max="14341" width="7.7109375" customWidth="1"/>
    <col min="14342" max="14342" width="9.7109375" customWidth="1"/>
    <col min="14343" max="14344" width="5.7109375" customWidth="1"/>
    <col min="14345" max="14345" width="6.7109375" customWidth="1"/>
    <col min="14346" max="14346" width="11.85546875" customWidth="1"/>
    <col min="14347" max="14348" width="8.7109375" customWidth="1"/>
    <col min="14594" max="14594" width="2.28515625" customWidth="1"/>
    <col min="14595" max="14595" width="21.28515625" customWidth="1"/>
    <col min="14596" max="14596" width="8.7109375" customWidth="1"/>
    <col min="14597" max="14597" width="7.7109375" customWidth="1"/>
    <col min="14598" max="14598" width="9.7109375" customWidth="1"/>
    <col min="14599" max="14600" width="5.7109375" customWidth="1"/>
    <col min="14601" max="14601" width="6.7109375" customWidth="1"/>
    <col min="14602" max="14602" width="11.85546875" customWidth="1"/>
    <col min="14603" max="14604" width="8.7109375" customWidth="1"/>
    <col min="14850" max="14850" width="2.28515625" customWidth="1"/>
    <col min="14851" max="14851" width="21.28515625" customWidth="1"/>
    <col min="14852" max="14852" width="8.7109375" customWidth="1"/>
    <col min="14853" max="14853" width="7.7109375" customWidth="1"/>
    <col min="14854" max="14854" width="9.7109375" customWidth="1"/>
    <col min="14855" max="14856" width="5.7109375" customWidth="1"/>
    <col min="14857" max="14857" width="6.7109375" customWidth="1"/>
    <col min="14858" max="14858" width="11.85546875" customWidth="1"/>
    <col min="14859" max="14860" width="8.7109375" customWidth="1"/>
    <col min="15106" max="15106" width="2.28515625" customWidth="1"/>
    <col min="15107" max="15107" width="21.28515625" customWidth="1"/>
    <col min="15108" max="15108" width="8.7109375" customWidth="1"/>
    <col min="15109" max="15109" width="7.7109375" customWidth="1"/>
    <col min="15110" max="15110" width="9.7109375" customWidth="1"/>
    <col min="15111" max="15112" width="5.7109375" customWidth="1"/>
    <col min="15113" max="15113" width="6.7109375" customWidth="1"/>
    <col min="15114" max="15114" width="11.85546875" customWidth="1"/>
    <col min="15115" max="15116" width="8.7109375" customWidth="1"/>
    <col min="15362" max="15362" width="2.28515625" customWidth="1"/>
    <col min="15363" max="15363" width="21.28515625" customWidth="1"/>
    <col min="15364" max="15364" width="8.7109375" customWidth="1"/>
    <col min="15365" max="15365" width="7.7109375" customWidth="1"/>
    <col min="15366" max="15366" width="9.7109375" customWidth="1"/>
    <col min="15367" max="15368" width="5.7109375" customWidth="1"/>
    <col min="15369" max="15369" width="6.7109375" customWidth="1"/>
    <col min="15370" max="15370" width="11.85546875" customWidth="1"/>
    <col min="15371" max="15372" width="8.7109375" customWidth="1"/>
    <col min="15618" max="15618" width="2.28515625" customWidth="1"/>
    <col min="15619" max="15619" width="21.28515625" customWidth="1"/>
    <col min="15620" max="15620" width="8.7109375" customWidth="1"/>
    <col min="15621" max="15621" width="7.7109375" customWidth="1"/>
    <col min="15622" max="15622" width="9.7109375" customWidth="1"/>
    <col min="15623" max="15624" width="5.7109375" customWidth="1"/>
    <col min="15625" max="15625" width="6.7109375" customWidth="1"/>
    <col min="15626" max="15626" width="11.85546875" customWidth="1"/>
    <col min="15627" max="15628" width="8.7109375" customWidth="1"/>
    <col min="15874" max="15874" width="2.28515625" customWidth="1"/>
    <col min="15875" max="15875" width="21.28515625" customWidth="1"/>
    <col min="15876" max="15876" width="8.7109375" customWidth="1"/>
    <col min="15877" max="15877" width="7.7109375" customWidth="1"/>
    <col min="15878" max="15878" width="9.7109375" customWidth="1"/>
    <col min="15879" max="15880" width="5.7109375" customWidth="1"/>
    <col min="15881" max="15881" width="6.7109375" customWidth="1"/>
    <col min="15882" max="15882" width="11.85546875" customWidth="1"/>
    <col min="15883" max="15884" width="8.7109375" customWidth="1"/>
    <col min="16130" max="16130" width="2.28515625" customWidth="1"/>
    <col min="16131" max="16131" width="21.28515625" customWidth="1"/>
    <col min="16132" max="16132" width="8.7109375" customWidth="1"/>
    <col min="16133" max="16133" width="7.7109375" customWidth="1"/>
    <col min="16134" max="16134" width="9.7109375" customWidth="1"/>
    <col min="16135" max="16136" width="5.7109375" customWidth="1"/>
    <col min="16137" max="16137" width="6.7109375" customWidth="1"/>
    <col min="16138" max="16138" width="11.85546875" customWidth="1"/>
    <col min="16139" max="16140" width="8.7109375" customWidth="1"/>
  </cols>
  <sheetData>
    <row r="1" spans="3:15" ht="62.25" customHeight="1" thickBot="1" x14ac:dyDescent="0.3">
      <c r="C1" s="78"/>
      <c r="D1" s="180" t="s">
        <v>211</v>
      </c>
      <c r="E1" s="181"/>
      <c r="F1" s="181"/>
      <c r="G1" s="181"/>
      <c r="H1" s="181"/>
      <c r="I1" s="181"/>
      <c r="J1" s="182"/>
      <c r="K1" s="183"/>
      <c r="L1" s="184"/>
    </row>
    <row r="2" spans="3:15" s="2" customFormat="1" ht="15" customHeight="1" thickBot="1" x14ac:dyDescent="0.25">
      <c r="C2" s="185" t="s">
        <v>42</v>
      </c>
      <c r="D2" s="186"/>
      <c r="E2" s="186"/>
      <c r="F2" s="186"/>
      <c r="G2" s="186"/>
      <c r="H2" s="186"/>
      <c r="I2" s="186"/>
      <c r="J2" s="186"/>
      <c r="K2" s="186"/>
      <c r="L2" s="187"/>
    </row>
    <row r="3" spans="3:15" s="2" customFormat="1" ht="16.5" customHeight="1" thickBot="1" x14ac:dyDescent="0.25">
      <c r="C3" s="272" t="s">
        <v>146</v>
      </c>
      <c r="D3" s="273"/>
      <c r="E3" s="273"/>
      <c r="F3" s="273"/>
      <c r="G3" s="273"/>
      <c r="H3" s="273"/>
      <c r="I3" s="273"/>
      <c r="J3" s="274"/>
      <c r="K3" s="157" t="s">
        <v>1</v>
      </c>
      <c r="L3" s="158">
        <v>41</v>
      </c>
      <c r="N3" s="85" t="s">
        <v>113</v>
      </c>
      <c r="O3" s="86">
        <v>1</v>
      </c>
    </row>
    <row r="4" spans="3:15" s="2" customFormat="1" ht="12" customHeight="1" thickBot="1" x14ac:dyDescent="0.25">
      <c r="C4" s="281" t="s">
        <v>147</v>
      </c>
      <c r="D4" s="278"/>
      <c r="E4" s="282" t="s">
        <v>2</v>
      </c>
      <c r="F4" s="283"/>
      <c r="G4" s="284"/>
      <c r="H4" s="292" t="s">
        <v>3</v>
      </c>
      <c r="I4" s="293"/>
      <c r="J4" s="596" t="str">
        <f>VLOOKUP(L3,[1]PMP_2025!$C$8:$R$52,4,FALSE)</f>
        <v>Neonatología</v>
      </c>
      <c r="K4" s="597"/>
      <c r="L4" s="598"/>
      <c r="N4" s="84" t="s">
        <v>114</v>
      </c>
      <c r="O4" s="83">
        <v>9</v>
      </c>
    </row>
    <row r="5" spans="3:15" s="2" customFormat="1" ht="12" customHeight="1" x14ac:dyDescent="0.2">
      <c r="C5" s="281"/>
      <c r="D5" s="278"/>
      <c r="E5" s="285"/>
      <c r="F5" s="286"/>
      <c r="G5" s="287"/>
      <c r="H5" s="288" t="s">
        <v>4</v>
      </c>
      <c r="I5" s="288"/>
      <c r="J5" s="596" t="str">
        <f>VLOOKUP(L3,[1]PMP_2025!$C$8:$R$52,8,FALSE)</f>
        <v>DRAGER</v>
      </c>
      <c r="K5" s="597"/>
      <c r="L5" s="598"/>
    </row>
    <row r="6" spans="3:15" s="2" customFormat="1" ht="12" customHeight="1" x14ac:dyDescent="0.2">
      <c r="C6" s="125" t="s">
        <v>5</v>
      </c>
      <c r="D6" s="352" t="str">
        <f>VLOOKUP(L3,[1]PMP_2025!$C$8:$R$52,9,FALSE)</f>
        <v>CALEO</v>
      </c>
      <c r="E6" s="353"/>
      <c r="F6" s="353"/>
      <c r="G6" s="354"/>
      <c r="H6" s="278" t="s">
        <v>6</v>
      </c>
      <c r="I6" s="278"/>
      <c r="J6" s="278"/>
      <c r="K6" s="279" t="str">
        <f>VLOOKUP(L3,[1]PMP_2025!$C$8:$R$52,2,FALSE)</f>
        <v>2-115786</v>
      </c>
      <c r="L6" s="280"/>
    </row>
    <row r="7" spans="3:15" s="2" customFormat="1" ht="12" customHeight="1" thickBot="1" x14ac:dyDescent="0.25">
      <c r="C7" s="159" t="s">
        <v>7</v>
      </c>
      <c r="D7" s="352" t="str">
        <f>VLOOKUP(L3,[1]PMP_2025!$C$8:$R$52,10,FALSE)</f>
        <v>ASJL-0013</v>
      </c>
      <c r="E7" s="353"/>
      <c r="F7" s="353"/>
      <c r="G7" s="354"/>
      <c r="H7" s="599" t="s">
        <v>8</v>
      </c>
      <c r="I7" s="599"/>
      <c r="J7" s="599"/>
      <c r="K7" s="600"/>
      <c r="L7" s="601"/>
    </row>
    <row r="8" spans="3:15" s="2" customFormat="1" ht="15" customHeight="1" thickBot="1" x14ac:dyDescent="0.25">
      <c r="C8" s="375" t="s">
        <v>259</v>
      </c>
      <c r="D8" s="244"/>
      <c r="E8" s="244"/>
      <c r="F8" s="244"/>
      <c r="G8" s="244"/>
      <c r="H8" s="244"/>
      <c r="I8" s="244"/>
      <c r="J8" s="244"/>
      <c r="K8" s="244"/>
      <c r="L8" s="245"/>
    </row>
    <row r="9" spans="3:15" s="2" customFormat="1" ht="15" customHeight="1" x14ac:dyDescent="0.2">
      <c r="C9" s="246" t="s">
        <v>10</v>
      </c>
      <c r="D9" s="247"/>
      <c r="E9" s="247"/>
      <c r="F9" s="248"/>
      <c r="G9" s="248" t="s">
        <v>44</v>
      </c>
      <c r="H9" s="253"/>
      <c r="I9" s="320"/>
      <c r="J9" s="186" t="s">
        <v>45</v>
      </c>
      <c r="K9" s="186"/>
      <c r="L9" s="187"/>
    </row>
    <row r="10" spans="3:15" s="2" customFormat="1" ht="15" customHeight="1" x14ac:dyDescent="0.2">
      <c r="C10" s="588" t="s">
        <v>46</v>
      </c>
      <c r="D10" s="589"/>
      <c r="E10" s="589"/>
      <c r="F10" s="590"/>
      <c r="G10" s="120" t="s">
        <v>14</v>
      </c>
      <c r="H10" s="121" t="s">
        <v>15</v>
      </c>
      <c r="I10" s="122" t="s">
        <v>16</v>
      </c>
      <c r="J10" s="380"/>
      <c r="K10" s="380"/>
      <c r="L10" s="587"/>
    </row>
    <row r="11" spans="3:15" s="2" customFormat="1" ht="15" customHeight="1" x14ac:dyDescent="0.2">
      <c r="C11" s="190" t="s">
        <v>145</v>
      </c>
      <c r="D11" s="215"/>
      <c r="E11" s="215"/>
      <c r="F11" s="216"/>
      <c r="G11" s="133"/>
      <c r="H11" s="10"/>
      <c r="I11" s="129"/>
      <c r="J11" s="585"/>
      <c r="K11" s="585"/>
      <c r="L11" s="586"/>
    </row>
    <row r="12" spans="3:15" s="2" customFormat="1" ht="15" customHeight="1" x14ac:dyDescent="0.2">
      <c r="C12" s="190" t="s">
        <v>148</v>
      </c>
      <c r="D12" s="215"/>
      <c r="E12" s="215"/>
      <c r="F12" s="216"/>
      <c r="G12" s="133"/>
      <c r="H12" s="10"/>
      <c r="I12" s="129"/>
      <c r="J12" s="261"/>
      <c r="K12" s="261"/>
      <c r="L12" s="263"/>
    </row>
    <row r="13" spans="3:15" s="2" customFormat="1" ht="15" customHeight="1" x14ac:dyDescent="0.2">
      <c r="C13" s="190" t="s">
        <v>170</v>
      </c>
      <c r="D13" s="215"/>
      <c r="E13" s="215"/>
      <c r="F13" s="216"/>
      <c r="G13" s="133"/>
      <c r="H13" s="10"/>
      <c r="I13" s="129"/>
      <c r="J13" s="261"/>
      <c r="K13" s="261"/>
      <c r="L13" s="263"/>
    </row>
    <row r="14" spans="3:15" s="2" customFormat="1" ht="15" customHeight="1" x14ac:dyDescent="0.2">
      <c r="C14" s="591" t="s">
        <v>169</v>
      </c>
      <c r="D14" s="592"/>
      <c r="E14" s="592"/>
      <c r="F14" s="593"/>
      <c r="G14" s="133"/>
      <c r="H14" s="10"/>
      <c r="I14" s="129"/>
      <c r="J14" s="261"/>
      <c r="K14" s="261"/>
      <c r="L14" s="263"/>
    </row>
    <row r="15" spans="3:15" s="2" customFormat="1" ht="15" customHeight="1" x14ac:dyDescent="0.2">
      <c r="C15" s="517" t="s">
        <v>166</v>
      </c>
      <c r="D15" s="518"/>
      <c r="E15" s="518"/>
      <c r="F15" s="519"/>
      <c r="G15" s="133"/>
      <c r="H15" s="10"/>
      <c r="I15" s="129"/>
      <c r="J15" s="261"/>
      <c r="K15" s="261"/>
      <c r="L15" s="263"/>
    </row>
    <row r="16" spans="3:15" s="2" customFormat="1" ht="15" customHeight="1" x14ac:dyDescent="0.2">
      <c r="C16" s="137" t="s">
        <v>47</v>
      </c>
      <c r="D16" s="138"/>
      <c r="E16" s="138"/>
      <c r="F16" s="139"/>
      <c r="G16" s="140"/>
      <c r="H16" s="103"/>
      <c r="I16" s="132"/>
      <c r="J16" s="261"/>
      <c r="K16" s="261"/>
      <c r="L16" s="263"/>
    </row>
    <row r="17" spans="3:12" s="2" customFormat="1" ht="15" customHeight="1" x14ac:dyDescent="0.2">
      <c r="C17" s="137" t="s">
        <v>253</v>
      </c>
      <c r="D17" s="138"/>
      <c r="E17" s="138"/>
      <c r="F17" s="139"/>
      <c r="G17" s="140"/>
      <c r="H17" s="103"/>
      <c r="I17" s="132"/>
      <c r="J17" s="261"/>
      <c r="K17" s="261"/>
      <c r="L17" s="263"/>
    </row>
    <row r="18" spans="3:12" s="2" customFormat="1" ht="15" customHeight="1" thickBot="1" x14ac:dyDescent="0.25">
      <c r="C18" s="594" t="s">
        <v>212</v>
      </c>
      <c r="D18" s="595"/>
      <c r="E18" s="595"/>
      <c r="F18" s="389"/>
      <c r="G18" s="140"/>
      <c r="H18" s="103"/>
      <c r="I18" s="132"/>
      <c r="J18" s="572"/>
      <c r="K18" s="572"/>
      <c r="L18" s="573"/>
    </row>
    <row r="19" spans="3:12" s="2" customFormat="1" ht="15" customHeight="1" x14ac:dyDescent="0.2">
      <c r="C19" s="411" t="s">
        <v>254</v>
      </c>
      <c r="D19" s="241"/>
      <c r="E19" s="241"/>
      <c r="F19" s="241"/>
      <c r="G19" s="141" t="s">
        <v>14</v>
      </c>
      <c r="H19" s="135" t="s">
        <v>15</v>
      </c>
      <c r="I19" s="123" t="s">
        <v>16</v>
      </c>
      <c r="J19" s="253"/>
      <c r="K19" s="253"/>
      <c r="L19" s="321"/>
    </row>
    <row r="20" spans="3:12" s="2" customFormat="1" ht="15" customHeight="1" x14ac:dyDescent="0.2">
      <c r="C20" s="583" t="s">
        <v>213</v>
      </c>
      <c r="D20" s="584"/>
      <c r="E20" s="584"/>
      <c r="F20" s="584"/>
      <c r="G20" s="142"/>
      <c r="H20" s="119"/>
      <c r="I20" s="143"/>
      <c r="J20" s="585"/>
      <c r="K20" s="585"/>
      <c r="L20" s="586"/>
    </row>
    <row r="21" spans="3:12" s="2" customFormat="1" ht="15" customHeight="1" x14ac:dyDescent="0.2">
      <c r="C21" s="200" t="s">
        <v>149</v>
      </c>
      <c r="D21" s="201"/>
      <c r="E21" s="201"/>
      <c r="F21" s="201"/>
      <c r="G21" s="133"/>
      <c r="H21" s="10"/>
      <c r="I21" s="129"/>
      <c r="J21" s="261"/>
      <c r="K21" s="261"/>
      <c r="L21" s="263"/>
    </row>
    <row r="22" spans="3:12" s="2" customFormat="1" ht="15" customHeight="1" x14ac:dyDescent="0.2">
      <c r="C22" s="200" t="s">
        <v>214</v>
      </c>
      <c r="D22" s="201"/>
      <c r="E22" s="201"/>
      <c r="F22" s="201"/>
      <c r="G22" s="133"/>
      <c r="H22" s="10"/>
      <c r="I22" s="129"/>
      <c r="J22" s="261"/>
      <c r="K22" s="261"/>
      <c r="L22" s="263"/>
    </row>
    <row r="23" spans="3:12" s="2" customFormat="1" ht="15" customHeight="1" x14ac:dyDescent="0.2">
      <c r="C23" s="200" t="s">
        <v>150</v>
      </c>
      <c r="D23" s="201"/>
      <c r="E23" s="201"/>
      <c r="F23" s="201"/>
      <c r="G23" s="133"/>
      <c r="H23" s="10"/>
      <c r="I23" s="129"/>
      <c r="J23" s="261"/>
      <c r="K23" s="261"/>
      <c r="L23" s="263"/>
    </row>
    <row r="24" spans="3:12" s="2" customFormat="1" ht="15" customHeight="1" x14ac:dyDescent="0.2">
      <c r="C24" s="200" t="s">
        <v>151</v>
      </c>
      <c r="D24" s="201"/>
      <c r="E24" s="201"/>
      <c r="F24" s="201"/>
      <c r="G24" s="133"/>
      <c r="H24" s="10"/>
      <c r="I24" s="129"/>
      <c r="J24" s="261"/>
      <c r="K24" s="261"/>
      <c r="L24" s="263"/>
    </row>
    <row r="25" spans="3:12" s="2" customFormat="1" ht="15" customHeight="1" x14ac:dyDescent="0.2">
      <c r="C25" s="200" t="s">
        <v>152</v>
      </c>
      <c r="D25" s="201"/>
      <c r="E25" s="201"/>
      <c r="F25" s="201"/>
      <c r="G25" s="133"/>
      <c r="H25" s="10"/>
      <c r="I25" s="129"/>
      <c r="J25" s="188"/>
      <c r="K25" s="188"/>
      <c r="L25" s="189"/>
    </row>
    <row r="26" spans="3:12" s="2" customFormat="1" ht="15" customHeight="1" x14ac:dyDescent="0.2">
      <c r="C26" s="200" t="s">
        <v>153</v>
      </c>
      <c r="D26" s="201"/>
      <c r="E26" s="201"/>
      <c r="F26" s="201"/>
      <c r="G26" s="133"/>
      <c r="H26" s="10"/>
      <c r="I26" s="129"/>
      <c r="J26" s="188"/>
      <c r="K26" s="188"/>
      <c r="L26" s="189"/>
    </row>
    <row r="27" spans="3:12" s="2" customFormat="1" ht="15" customHeight="1" x14ac:dyDescent="0.2">
      <c r="C27" s="200" t="s">
        <v>255</v>
      </c>
      <c r="D27" s="201"/>
      <c r="E27" s="201"/>
      <c r="F27" s="201"/>
      <c r="G27" s="140"/>
      <c r="H27" s="103"/>
      <c r="I27" s="132"/>
      <c r="J27" s="188"/>
      <c r="K27" s="188"/>
      <c r="L27" s="189"/>
    </row>
    <row r="28" spans="3:12" s="2" customFormat="1" ht="15" customHeight="1" thickBot="1" x14ac:dyDescent="0.25">
      <c r="C28" s="202" t="s">
        <v>154</v>
      </c>
      <c r="D28" s="203"/>
      <c r="E28" s="203"/>
      <c r="F28" s="203"/>
      <c r="G28" s="134"/>
      <c r="H28" s="106"/>
      <c r="I28" s="130"/>
      <c r="J28" s="204"/>
      <c r="K28" s="204"/>
      <c r="L28" s="394"/>
    </row>
    <row r="29" spans="3:12" s="2" customFormat="1" ht="15" customHeight="1" x14ac:dyDescent="0.2">
      <c r="C29" s="513" t="s">
        <v>256</v>
      </c>
      <c r="D29" s="514"/>
      <c r="E29" s="514"/>
      <c r="F29" s="412"/>
      <c r="G29" s="141" t="s">
        <v>14</v>
      </c>
      <c r="H29" s="135" t="s">
        <v>15</v>
      </c>
      <c r="I29" s="123" t="s">
        <v>16</v>
      </c>
      <c r="J29" s="320"/>
      <c r="K29" s="247"/>
      <c r="L29" s="449"/>
    </row>
    <row r="30" spans="3:12" s="2" customFormat="1" ht="15" customHeight="1" x14ac:dyDescent="0.2">
      <c r="C30" s="583" t="s">
        <v>168</v>
      </c>
      <c r="D30" s="584"/>
      <c r="E30" s="584"/>
      <c r="F30" s="584"/>
      <c r="G30" s="115"/>
      <c r="H30" s="71"/>
      <c r="I30" s="96"/>
      <c r="J30" s="585"/>
      <c r="K30" s="585"/>
      <c r="L30" s="586"/>
    </row>
    <row r="31" spans="3:12" s="2" customFormat="1" ht="15" customHeight="1" x14ac:dyDescent="0.2">
      <c r="C31" s="200" t="s">
        <v>167</v>
      </c>
      <c r="D31" s="201"/>
      <c r="E31" s="201"/>
      <c r="F31" s="201"/>
      <c r="G31" s="13"/>
      <c r="H31" s="3"/>
      <c r="I31" s="116"/>
      <c r="J31" s="261"/>
      <c r="K31" s="261"/>
      <c r="L31" s="263"/>
    </row>
    <row r="32" spans="3:12" s="2" customFormat="1" ht="15" customHeight="1" thickBot="1" x14ac:dyDescent="0.25">
      <c r="C32" s="202" t="s">
        <v>171</v>
      </c>
      <c r="D32" s="203"/>
      <c r="E32" s="203"/>
      <c r="F32" s="203"/>
      <c r="G32" s="114"/>
      <c r="H32" s="70"/>
      <c r="I32" s="117"/>
      <c r="J32" s="572"/>
      <c r="K32" s="572"/>
      <c r="L32" s="573"/>
    </row>
    <row r="33" spans="3:12" s="2" customFormat="1" ht="13.5" customHeight="1" x14ac:dyDescent="0.2">
      <c r="C33" s="513" t="s">
        <v>257</v>
      </c>
      <c r="D33" s="514"/>
      <c r="E33" s="514"/>
      <c r="F33" s="514"/>
      <c r="G33" s="574" t="s">
        <v>258</v>
      </c>
      <c r="H33" s="575"/>
      <c r="I33" s="575"/>
      <c r="J33" s="575"/>
      <c r="K33" s="575"/>
      <c r="L33" s="576"/>
    </row>
    <row r="34" spans="3:12" s="2" customFormat="1" ht="15" customHeight="1" x14ac:dyDescent="0.2">
      <c r="C34" s="144" t="s">
        <v>29</v>
      </c>
      <c r="D34" s="124" t="s">
        <v>14</v>
      </c>
      <c r="E34" s="124" t="s">
        <v>15</v>
      </c>
      <c r="F34" s="145" t="s">
        <v>16</v>
      </c>
      <c r="G34" s="344" t="s">
        <v>29</v>
      </c>
      <c r="H34" s="345"/>
      <c r="I34" s="345"/>
      <c r="J34" s="345"/>
      <c r="K34" s="124" t="s">
        <v>14</v>
      </c>
      <c r="L34" s="146" t="s">
        <v>15</v>
      </c>
    </row>
    <row r="35" spans="3:12" s="2" customFormat="1" ht="15" customHeight="1" x14ac:dyDescent="0.2">
      <c r="C35" s="144" t="s">
        <v>156</v>
      </c>
      <c r="D35" s="71"/>
      <c r="E35" s="71"/>
      <c r="F35" s="96"/>
      <c r="G35" s="482" t="s">
        <v>164</v>
      </c>
      <c r="H35" s="277"/>
      <c r="I35" s="277"/>
      <c r="J35" s="277"/>
      <c r="K35" s="3"/>
      <c r="L35" s="7"/>
    </row>
    <row r="36" spans="3:12" s="2" customFormat="1" ht="15" customHeight="1" x14ac:dyDescent="0.2">
      <c r="C36" s="144" t="s">
        <v>48</v>
      </c>
      <c r="D36" s="3"/>
      <c r="E36" s="3"/>
      <c r="F36" s="116"/>
      <c r="G36" s="482" t="s">
        <v>31</v>
      </c>
      <c r="H36" s="277"/>
      <c r="I36" s="277"/>
      <c r="J36" s="277"/>
      <c r="K36" s="3"/>
      <c r="L36" s="7"/>
    </row>
    <row r="37" spans="3:12" s="2" customFormat="1" ht="15" customHeight="1" x14ac:dyDescent="0.2">
      <c r="C37" s="144" t="s">
        <v>155</v>
      </c>
      <c r="D37" s="3"/>
      <c r="E37" s="3"/>
      <c r="F37" s="116"/>
      <c r="G37" s="482" t="s">
        <v>53</v>
      </c>
      <c r="H37" s="277"/>
      <c r="I37" s="277"/>
      <c r="J37" s="277"/>
      <c r="K37" s="3"/>
      <c r="L37" s="7"/>
    </row>
    <row r="38" spans="3:12" s="2" customFormat="1" ht="15" customHeight="1" thickBot="1" x14ac:dyDescent="0.25">
      <c r="C38" s="144" t="s">
        <v>49</v>
      </c>
      <c r="D38" s="3"/>
      <c r="E38" s="3"/>
      <c r="F38" s="116"/>
      <c r="G38" s="581" t="s">
        <v>52</v>
      </c>
      <c r="H38" s="582"/>
      <c r="I38" s="582"/>
      <c r="J38" s="582"/>
      <c r="K38" s="4"/>
      <c r="L38" s="21"/>
    </row>
    <row r="39" spans="3:12" s="2" customFormat="1" ht="15" customHeight="1" x14ac:dyDescent="0.2">
      <c r="C39" s="147" t="s">
        <v>50</v>
      </c>
      <c r="D39" s="3"/>
      <c r="E39" s="3"/>
      <c r="F39" s="116"/>
      <c r="G39" s="577" t="s">
        <v>90</v>
      </c>
      <c r="H39" s="578"/>
      <c r="I39" s="578"/>
      <c r="J39" s="578"/>
      <c r="K39" s="148" t="s">
        <v>38</v>
      </c>
      <c r="L39" s="149" t="s">
        <v>39</v>
      </c>
    </row>
    <row r="40" spans="3:12" s="2" customFormat="1" ht="15" customHeight="1" thickBot="1" x14ac:dyDescent="0.25">
      <c r="C40" s="150" t="s">
        <v>51</v>
      </c>
      <c r="D40" s="4"/>
      <c r="E40" s="4"/>
      <c r="F40" s="118"/>
      <c r="G40" s="579"/>
      <c r="H40" s="580"/>
      <c r="I40" s="580"/>
      <c r="J40" s="580"/>
      <c r="K40" s="151"/>
      <c r="L40" s="152"/>
    </row>
    <row r="41" spans="3:12" ht="22.15" customHeight="1" x14ac:dyDescent="0.25">
      <c r="C41" s="480" t="s">
        <v>92</v>
      </c>
      <c r="D41" s="194" t="s">
        <v>207</v>
      </c>
      <c r="E41" s="195"/>
      <c r="F41" s="196"/>
      <c r="G41" s="194" t="s">
        <v>199</v>
      </c>
      <c r="H41" s="195"/>
      <c r="I41" s="195"/>
      <c r="J41" s="196"/>
      <c r="K41" s="194" t="s">
        <v>93</v>
      </c>
      <c r="L41" s="196"/>
    </row>
    <row r="42" spans="3:12" ht="22.15" customHeight="1" x14ac:dyDescent="0.25">
      <c r="C42" s="480"/>
      <c r="D42" s="194"/>
      <c r="E42" s="195"/>
      <c r="F42" s="196"/>
      <c r="G42" s="194"/>
      <c r="H42" s="195"/>
      <c r="I42" s="195"/>
      <c r="J42" s="196"/>
      <c r="K42" s="194"/>
      <c r="L42" s="196"/>
    </row>
    <row r="43" spans="3:12" ht="22.15" customHeight="1" x14ac:dyDescent="0.25">
      <c r="C43" s="480"/>
      <c r="D43" s="194"/>
      <c r="E43" s="195"/>
      <c r="F43" s="196"/>
      <c r="G43" s="194"/>
      <c r="H43" s="195"/>
      <c r="I43" s="195"/>
      <c r="J43" s="196"/>
      <c r="K43" s="194"/>
      <c r="L43" s="196"/>
    </row>
    <row r="44" spans="3:12" ht="22.15" customHeight="1" x14ac:dyDescent="0.25">
      <c r="C44" s="480"/>
      <c r="D44" s="194"/>
      <c r="E44" s="195"/>
      <c r="F44" s="196"/>
      <c r="G44" s="194"/>
      <c r="H44" s="195"/>
      <c r="I44" s="195"/>
      <c r="J44" s="196"/>
      <c r="K44" s="194"/>
      <c r="L44" s="196"/>
    </row>
    <row r="45" spans="3:12" ht="22.15" customHeight="1" x14ac:dyDescent="0.25">
      <c r="C45" s="480"/>
      <c r="D45" s="194"/>
      <c r="E45" s="195"/>
      <c r="F45" s="196"/>
      <c r="G45" s="194"/>
      <c r="H45" s="195"/>
      <c r="I45" s="195"/>
      <c r="J45" s="196"/>
      <c r="K45" s="194"/>
      <c r="L45" s="196"/>
    </row>
    <row r="46" spans="3:12" ht="22.15" customHeight="1" thickBot="1" x14ac:dyDescent="0.3">
      <c r="C46" s="481"/>
      <c r="D46" s="197"/>
      <c r="E46" s="198"/>
      <c r="F46" s="199"/>
      <c r="G46" s="197"/>
      <c r="H46" s="198"/>
      <c r="I46" s="198"/>
      <c r="J46" s="199"/>
      <c r="K46" s="197"/>
      <c r="L46" s="199"/>
    </row>
  </sheetData>
  <mergeCells count="75">
    <mergeCell ref="D1:J1"/>
    <mergeCell ref="C8:L8"/>
    <mergeCell ref="C2:L2"/>
    <mergeCell ref="C3:J3"/>
    <mergeCell ref="C4:D5"/>
    <mergeCell ref="E4:G5"/>
    <mergeCell ref="H5:I5"/>
    <mergeCell ref="J5:L5"/>
    <mergeCell ref="D6:G6"/>
    <mergeCell ref="H6:J6"/>
    <mergeCell ref="D7:G7"/>
    <mergeCell ref="H7:J7"/>
    <mergeCell ref="K7:L7"/>
    <mergeCell ref="K1:L1"/>
    <mergeCell ref="J4:L4"/>
    <mergeCell ref="K6:L6"/>
    <mergeCell ref="C30:F30"/>
    <mergeCell ref="J30:L30"/>
    <mergeCell ref="C31:F31"/>
    <mergeCell ref="J31:L31"/>
    <mergeCell ref="C25:F25"/>
    <mergeCell ref="J25:L25"/>
    <mergeCell ref="C26:F26"/>
    <mergeCell ref="J26:L26"/>
    <mergeCell ref="C27:F27"/>
    <mergeCell ref="J27:L27"/>
    <mergeCell ref="C28:F28"/>
    <mergeCell ref="J28:L28"/>
    <mergeCell ref="C29:F29"/>
    <mergeCell ref="J29:L29"/>
    <mergeCell ref="C22:F22"/>
    <mergeCell ref="J22:L22"/>
    <mergeCell ref="C23:F23"/>
    <mergeCell ref="J23:L23"/>
    <mergeCell ref="C12:F12"/>
    <mergeCell ref="J12:L12"/>
    <mergeCell ref="C13:F13"/>
    <mergeCell ref="J13:L13"/>
    <mergeCell ref="C19:F19"/>
    <mergeCell ref="J19:L19"/>
    <mergeCell ref="C14:F14"/>
    <mergeCell ref="J14:L14"/>
    <mergeCell ref="C15:F15"/>
    <mergeCell ref="J15:L15"/>
    <mergeCell ref="J16:L16"/>
    <mergeCell ref="C18:F18"/>
    <mergeCell ref="C20:F20"/>
    <mergeCell ref="J20:L20"/>
    <mergeCell ref="C21:F21"/>
    <mergeCell ref="J21:L21"/>
    <mergeCell ref="H4:I4"/>
    <mergeCell ref="J18:L18"/>
    <mergeCell ref="J17:L17"/>
    <mergeCell ref="C9:F9"/>
    <mergeCell ref="G9:I9"/>
    <mergeCell ref="J9:L10"/>
    <mergeCell ref="C10:F10"/>
    <mergeCell ref="C11:F11"/>
    <mergeCell ref="J11:L11"/>
    <mergeCell ref="C41:C46"/>
    <mergeCell ref="K41:L46"/>
    <mergeCell ref="G41:J46"/>
    <mergeCell ref="D41:F46"/>
    <mergeCell ref="C24:F24"/>
    <mergeCell ref="J24:L24"/>
    <mergeCell ref="C32:F32"/>
    <mergeCell ref="J32:L32"/>
    <mergeCell ref="C33:F33"/>
    <mergeCell ref="G33:L33"/>
    <mergeCell ref="G34:J34"/>
    <mergeCell ref="G39:J40"/>
    <mergeCell ref="G35:J35"/>
    <mergeCell ref="G36:J36"/>
    <mergeCell ref="G37:J37"/>
    <mergeCell ref="G38:J38"/>
  </mergeCells>
  <conditionalFormatting sqref="J5:L5 D6:G7 K6:L6 H4:J4">
    <cfRule type="cellIs" dxfId="2" priority="1" operator="equal">
      <formula>0</formula>
    </cfRule>
  </conditionalFormatting>
  <printOptions horizontalCentered="1"/>
  <pageMargins left="0.51181102362204722" right="0.53" top="0.35433070866141736" bottom="0.28000000000000003" header="0.31496062992125984" footer="0.44"/>
  <pageSetup scale="93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IMPRIMIRCOPIAS">
          <controlPr defaultSize="0" autoLine="0" r:id="rId5">
            <anchor moveWithCells="1">
              <from>
                <xdr:col>13</xdr:col>
                <xdr:colOff>190500</xdr:colOff>
                <xdr:row>4</xdr:row>
                <xdr:rowOff>133350</xdr:rowOff>
              </from>
              <to>
                <xdr:col>15</xdr:col>
                <xdr:colOff>19050</xdr:colOff>
                <xdr:row>6</xdr:row>
                <xdr:rowOff>114300</xdr:rowOff>
              </to>
            </anchor>
          </controlPr>
        </control>
      </mc:Choice>
      <mc:Fallback>
        <control shapeId="13313" r:id="rId4" name="IMPRIMIRCOPIA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">
    <tabColor rgb="FF00B050"/>
    <pageSetUpPr fitToPage="1"/>
  </sheetPr>
  <dimension ref="C1:O23"/>
  <sheetViews>
    <sheetView workbookViewId="0">
      <selection activeCell="P12" sqref="P12"/>
    </sheetView>
  </sheetViews>
  <sheetFormatPr baseColWidth="10" defaultRowHeight="15" x14ac:dyDescent="0.25"/>
  <cols>
    <col min="1" max="2" width="0.85546875" customWidth="1"/>
    <col min="3" max="3" width="21.28515625" customWidth="1"/>
    <col min="4" max="4" width="7.85546875" customWidth="1"/>
    <col min="5" max="5" width="4" customWidth="1"/>
    <col min="6" max="6" width="11.28515625" customWidth="1"/>
    <col min="7" max="8" width="6.42578125" customWidth="1"/>
    <col min="9" max="9" width="7.28515625" customWidth="1"/>
    <col min="10" max="10" width="8.7109375" customWidth="1"/>
    <col min="11" max="11" width="9.7109375" customWidth="1"/>
    <col min="12" max="12" width="17.7109375" customWidth="1"/>
    <col min="13" max="13" width="2.7109375" customWidth="1"/>
    <col min="14" max="14" width="7.7109375" customWidth="1"/>
    <col min="15" max="16" width="5.7109375" customWidth="1"/>
    <col min="258" max="258" width="2.28515625" customWidth="1"/>
    <col min="259" max="259" width="21.28515625" customWidth="1"/>
    <col min="260" max="260" width="8.7109375" customWidth="1"/>
    <col min="261" max="261" width="7.7109375" customWidth="1"/>
    <col min="262" max="262" width="9.7109375" customWidth="1"/>
    <col min="263" max="264" width="5.7109375" customWidth="1"/>
    <col min="265" max="265" width="6.7109375" customWidth="1"/>
    <col min="266" max="266" width="11.85546875" customWidth="1"/>
    <col min="267" max="268" width="8.7109375" customWidth="1"/>
    <col min="514" max="514" width="2.28515625" customWidth="1"/>
    <col min="515" max="515" width="21.28515625" customWidth="1"/>
    <col min="516" max="516" width="8.7109375" customWidth="1"/>
    <col min="517" max="517" width="7.7109375" customWidth="1"/>
    <col min="518" max="518" width="9.7109375" customWidth="1"/>
    <col min="519" max="520" width="5.7109375" customWidth="1"/>
    <col min="521" max="521" width="6.7109375" customWidth="1"/>
    <col min="522" max="522" width="11.85546875" customWidth="1"/>
    <col min="523" max="524" width="8.7109375" customWidth="1"/>
    <col min="770" max="770" width="2.28515625" customWidth="1"/>
    <col min="771" max="771" width="21.28515625" customWidth="1"/>
    <col min="772" max="772" width="8.7109375" customWidth="1"/>
    <col min="773" max="773" width="7.7109375" customWidth="1"/>
    <col min="774" max="774" width="9.7109375" customWidth="1"/>
    <col min="775" max="776" width="5.7109375" customWidth="1"/>
    <col min="777" max="777" width="6.7109375" customWidth="1"/>
    <col min="778" max="778" width="11.85546875" customWidth="1"/>
    <col min="779" max="780" width="8.7109375" customWidth="1"/>
    <col min="1026" max="1026" width="2.28515625" customWidth="1"/>
    <col min="1027" max="1027" width="21.28515625" customWidth="1"/>
    <col min="1028" max="1028" width="8.7109375" customWidth="1"/>
    <col min="1029" max="1029" width="7.7109375" customWidth="1"/>
    <col min="1030" max="1030" width="9.7109375" customWidth="1"/>
    <col min="1031" max="1032" width="5.7109375" customWidth="1"/>
    <col min="1033" max="1033" width="6.7109375" customWidth="1"/>
    <col min="1034" max="1034" width="11.85546875" customWidth="1"/>
    <col min="1035" max="1036" width="8.7109375" customWidth="1"/>
    <col min="1282" max="1282" width="2.28515625" customWidth="1"/>
    <col min="1283" max="1283" width="21.28515625" customWidth="1"/>
    <col min="1284" max="1284" width="8.7109375" customWidth="1"/>
    <col min="1285" max="1285" width="7.7109375" customWidth="1"/>
    <col min="1286" max="1286" width="9.7109375" customWidth="1"/>
    <col min="1287" max="1288" width="5.7109375" customWidth="1"/>
    <col min="1289" max="1289" width="6.7109375" customWidth="1"/>
    <col min="1290" max="1290" width="11.85546875" customWidth="1"/>
    <col min="1291" max="1292" width="8.7109375" customWidth="1"/>
    <col min="1538" max="1538" width="2.28515625" customWidth="1"/>
    <col min="1539" max="1539" width="21.28515625" customWidth="1"/>
    <col min="1540" max="1540" width="8.7109375" customWidth="1"/>
    <col min="1541" max="1541" width="7.7109375" customWidth="1"/>
    <col min="1542" max="1542" width="9.7109375" customWidth="1"/>
    <col min="1543" max="1544" width="5.7109375" customWidth="1"/>
    <col min="1545" max="1545" width="6.7109375" customWidth="1"/>
    <col min="1546" max="1546" width="11.85546875" customWidth="1"/>
    <col min="1547" max="1548" width="8.7109375" customWidth="1"/>
    <col min="1794" max="1794" width="2.28515625" customWidth="1"/>
    <col min="1795" max="1795" width="21.28515625" customWidth="1"/>
    <col min="1796" max="1796" width="8.7109375" customWidth="1"/>
    <col min="1797" max="1797" width="7.7109375" customWidth="1"/>
    <col min="1798" max="1798" width="9.7109375" customWidth="1"/>
    <col min="1799" max="1800" width="5.7109375" customWidth="1"/>
    <col min="1801" max="1801" width="6.7109375" customWidth="1"/>
    <col min="1802" max="1802" width="11.85546875" customWidth="1"/>
    <col min="1803" max="1804" width="8.7109375" customWidth="1"/>
    <col min="2050" max="2050" width="2.28515625" customWidth="1"/>
    <col min="2051" max="2051" width="21.28515625" customWidth="1"/>
    <col min="2052" max="2052" width="8.7109375" customWidth="1"/>
    <col min="2053" max="2053" width="7.7109375" customWidth="1"/>
    <col min="2054" max="2054" width="9.7109375" customWidth="1"/>
    <col min="2055" max="2056" width="5.7109375" customWidth="1"/>
    <col min="2057" max="2057" width="6.7109375" customWidth="1"/>
    <col min="2058" max="2058" width="11.85546875" customWidth="1"/>
    <col min="2059" max="2060" width="8.7109375" customWidth="1"/>
    <col min="2306" max="2306" width="2.28515625" customWidth="1"/>
    <col min="2307" max="2307" width="21.28515625" customWidth="1"/>
    <col min="2308" max="2308" width="8.7109375" customWidth="1"/>
    <col min="2309" max="2309" width="7.7109375" customWidth="1"/>
    <col min="2310" max="2310" width="9.7109375" customWidth="1"/>
    <col min="2311" max="2312" width="5.7109375" customWidth="1"/>
    <col min="2313" max="2313" width="6.7109375" customWidth="1"/>
    <col min="2314" max="2314" width="11.85546875" customWidth="1"/>
    <col min="2315" max="2316" width="8.7109375" customWidth="1"/>
    <col min="2562" max="2562" width="2.28515625" customWidth="1"/>
    <col min="2563" max="2563" width="21.28515625" customWidth="1"/>
    <col min="2564" max="2564" width="8.7109375" customWidth="1"/>
    <col min="2565" max="2565" width="7.7109375" customWidth="1"/>
    <col min="2566" max="2566" width="9.7109375" customWidth="1"/>
    <col min="2567" max="2568" width="5.7109375" customWidth="1"/>
    <col min="2569" max="2569" width="6.7109375" customWidth="1"/>
    <col min="2570" max="2570" width="11.85546875" customWidth="1"/>
    <col min="2571" max="2572" width="8.7109375" customWidth="1"/>
    <col min="2818" max="2818" width="2.28515625" customWidth="1"/>
    <col min="2819" max="2819" width="21.28515625" customWidth="1"/>
    <col min="2820" max="2820" width="8.7109375" customWidth="1"/>
    <col min="2821" max="2821" width="7.7109375" customWidth="1"/>
    <col min="2822" max="2822" width="9.7109375" customWidth="1"/>
    <col min="2823" max="2824" width="5.7109375" customWidth="1"/>
    <col min="2825" max="2825" width="6.7109375" customWidth="1"/>
    <col min="2826" max="2826" width="11.85546875" customWidth="1"/>
    <col min="2827" max="2828" width="8.7109375" customWidth="1"/>
    <col min="3074" max="3074" width="2.28515625" customWidth="1"/>
    <col min="3075" max="3075" width="21.28515625" customWidth="1"/>
    <col min="3076" max="3076" width="8.7109375" customWidth="1"/>
    <col min="3077" max="3077" width="7.7109375" customWidth="1"/>
    <col min="3078" max="3078" width="9.7109375" customWidth="1"/>
    <col min="3079" max="3080" width="5.7109375" customWidth="1"/>
    <col min="3081" max="3081" width="6.7109375" customWidth="1"/>
    <col min="3082" max="3082" width="11.85546875" customWidth="1"/>
    <col min="3083" max="3084" width="8.7109375" customWidth="1"/>
    <col min="3330" max="3330" width="2.28515625" customWidth="1"/>
    <col min="3331" max="3331" width="21.28515625" customWidth="1"/>
    <col min="3332" max="3332" width="8.7109375" customWidth="1"/>
    <col min="3333" max="3333" width="7.7109375" customWidth="1"/>
    <col min="3334" max="3334" width="9.7109375" customWidth="1"/>
    <col min="3335" max="3336" width="5.7109375" customWidth="1"/>
    <col min="3337" max="3337" width="6.7109375" customWidth="1"/>
    <col min="3338" max="3338" width="11.85546875" customWidth="1"/>
    <col min="3339" max="3340" width="8.7109375" customWidth="1"/>
    <col min="3586" max="3586" width="2.28515625" customWidth="1"/>
    <col min="3587" max="3587" width="21.28515625" customWidth="1"/>
    <col min="3588" max="3588" width="8.7109375" customWidth="1"/>
    <col min="3589" max="3589" width="7.7109375" customWidth="1"/>
    <col min="3590" max="3590" width="9.7109375" customWidth="1"/>
    <col min="3591" max="3592" width="5.7109375" customWidth="1"/>
    <col min="3593" max="3593" width="6.7109375" customWidth="1"/>
    <col min="3594" max="3594" width="11.85546875" customWidth="1"/>
    <col min="3595" max="3596" width="8.7109375" customWidth="1"/>
    <col min="3842" max="3842" width="2.28515625" customWidth="1"/>
    <col min="3843" max="3843" width="21.28515625" customWidth="1"/>
    <col min="3844" max="3844" width="8.7109375" customWidth="1"/>
    <col min="3845" max="3845" width="7.7109375" customWidth="1"/>
    <col min="3846" max="3846" width="9.7109375" customWidth="1"/>
    <col min="3847" max="3848" width="5.7109375" customWidth="1"/>
    <col min="3849" max="3849" width="6.7109375" customWidth="1"/>
    <col min="3850" max="3850" width="11.85546875" customWidth="1"/>
    <col min="3851" max="3852" width="8.7109375" customWidth="1"/>
    <col min="4098" max="4098" width="2.28515625" customWidth="1"/>
    <col min="4099" max="4099" width="21.28515625" customWidth="1"/>
    <col min="4100" max="4100" width="8.7109375" customWidth="1"/>
    <col min="4101" max="4101" width="7.7109375" customWidth="1"/>
    <col min="4102" max="4102" width="9.7109375" customWidth="1"/>
    <col min="4103" max="4104" width="5.7109375" customWidth="1"/>
    <col min="4105" max="4105" width="6.7109375" customWidth="1"/>
    <col min="4106" max="4106" width="11.85546875" customWidth="1"/>
    <col min="4107" max="4108" width="8.7109375" customWidth="1"/>
    <col min="4354" max="4354" width="2.28515625" customWidth="1"/>
    <col min="4355" max="4355" width="21.28515625" customWidth="1"/>
    <col min="4356" max="4356" width="8.7109375" customWidth="1"/>
    <col min="4357" max="4357" width="7.7109375" customWidth="1"/>
    <col min="4358" max="4358" width="9.7109375" customWidth="1"/>
    <col min="4359" max="4360" width="5.7109375" customWidth="1"/>
    <col min="4361" max="4361" width="6.7109375" customWidth="1"/>
    <col min="4362" max="4362" width="11.85546875" customWidth="1"/>
    <col min="4363" max="4364" width="8.7109375" customWidth="1"/>
    <col min="4610" max="4610" width="2.28515625" customWidth="1"/>
    <col min="4611" max="4611" width="21.28515625" customWidth="1"/>
    <col min="4612" max="4612" width="8.7109375" customWidth="1"/>
    <col min="4613" max="4613" width="7.7109375" customWidth="1"/>
    <col min="4614" max="4614" width="9.7109375" customWidth="1"/>
    <col min="4615" max="4616" width="5.7109375" customWidth="1"/>
    <col min="4617" max="4617" width="6.7109375" customWidth="1"/>
    <col min="4618" max="4618" width="11.85546875" customWidth="1"/>
    <col min="4619" max="4620" width="8.7109375" customWidth="1"/>
    <col min="4866" max="4866" width="2.28515625" customWidth="1"/>
    <col min="4867" max="4867" width="21.28515625" customWidth="1"/>
    <col min="4868" max="4868" width="8.7109375" customWidth="1"/>
    <col min="4869" max="4869" width="7.7109375" customWidth="1"/>
    <col min="4870" max="4870" width="9.7109375" customWidth="1"/>
    <col min="4871" max="4872" width="5.7109375" customWidth="1"/>
    <col min="4873" max="4873" width="6.7109375" customWidth="1"/>
    <col min="4874" max="4874" width="11.85546875" customWidth="1"/>
    <col min="4875" max="4876" width="8.7109375" customWidth="1"/>
    <col min="5122" max="5122" width="2.28515625" customWidth="1"/>
    <col min="5123" max="5123" width="21.28515625" customWidth="1"/>
    <col min="5124" max="5124" width="8.7109375" customWidth="1"/>
    <col min="5125" max="5125" width="7.7109375" customWidth="1"/>
    <col min="5126" max="5126" width="9.7109375" customWidth="1"/>
    <col min="5127" max="5128" width="5.7109375" customWidth="1"/>
    <col min="5129" max="5129" width="6.7109375" customWidth="1"/>
    <col min="5130" max="5130" width="11.85546875" customWidth="1"/>
    <col min="5131" max="5132" width="8.7109375" customWidth="1"/>
    <col min="5378" max="5378" width="2.28515625" customWidth="1"/>
    <col min="5379" max="5379" width="21.28515625" customWidth="1"/>
    <col min="5380" max="5380" width="8.7109375" customWidth="1"/>
    <col min="5381" max="5381" width="7.7109375" customWidth="1"/>
    <col min="5382" max="5382" width="9.7109375" customWidth="1"/>
    <col min="5383" max="5384" width="5.7109375" customWidth="1"/>
    <col min="5385" max="5385" width="6.7109375" customWidth="1"/>
    <col min="5386" max="5386" width="11.85546875" customWidth="1"/>
    <col min="5387" max="5388" width="8.7109375" customWidth="1"/>
    <col min="5634" max="5634" width="2.28515625" customWidth="1"/>
    <col min="5635" max="5635" width="21.28515625" customWidth="1"/>
    <col min="5636" max="5636" width="8.7109375" customWidth="1"/>
    <col min="5637" max="5637" width="7.7109375" customWidth="1"/>
    <col min="5638" max="5638" width="9.7109375" customWidth="1"/>
    <col min="5639" max="5640" width="5.7109375" customWidth="1"/>
    <col min="5641" max="5641" width="6.7109375" customWidth="1"/>
    <col min="5642" max="5642" width="11.85546875" customWidth="1"/>
    <col min="5643" max="5644" width="8.7109375" customWidth="1"/>
    <col min="5890" max="5890" width="2.28515625" customWidth="1"/>
    <col min="5891" max="5891" width="21.28515625" customWidth="1"/>
    <col min="5892" max="5892" width="8.7109375" customWidth="1"/>
    <col min="5893" max="5893" width="7.7109375" customWidth="1"/>
    <col min="5894" max="5894" width="9.7109375" customWidth="1"/>
    <col min="5895" max="5896" width="5.7109375" customWidth="1"/>
    <col min="5897" max="5897" width="6.7109375" customWidth="1"/>
    <col min="5898" max="5898" width="11.85546875" customWidth="1"/>
    <col min="5899" max="5900" width="8.7109375" customWidth="1"/>
    <col min="6146" max="6146" width="2.28515625" customWidth="1"/>
    <col min="6147" max="6147" width="21.28515625" customWidth="1"/>
    <col min="6148" max="6148" width="8.7109375" customWidth="1"/>
    <col min="6149" max="6149" width="7.7109375" customWidth="1"/>
    <col min="6150" max="6150" width="9.7109375" customWidth="1"/>
    <col min="6151" max="6152" width="5.7109375" customWidth="1"/>
    <col min="6153" max="6153" width="6.7109375" customWidth="1"/>
    <col min="6154" max="6154" width="11.85546875" customWidth="1"/>
    <col min="6155" max="6156" width="8.7109375" customWidth="1"/>
    <col min="6402" max="6402" width="2.28515625" customWidth="1"/>
    <col min="6403" max="6403" width="21.28515625" customWidth="1"/>
    <col min="6404" max="6404" width="8.7109375" customWidth="1"/>
    <col min="6405" max="6405" width="7.7109375" customWidth="1"/>
    <col min="6406" max="6406" width="9.7109375" customWidth="1"/>
    <col min="6407" max="6408" width="5.7109375" customWidth="1"/>
    <col min="6409" max="6409" width="6.7109375" customWidth="1"/>
    <col min="6410" max="6410" width="11.85546875" customWidth="1"/>
    <col min="6411" max="6412" width="8.7109375" customWidth="1"/>
    <col min="6658" max="6658" width="2.28515625" customWidth="1"/>
    <col min="6659" max="6659" width="21.28515625" customWidth="1"/>
    <col min="6660" max="6660" width="8.7109375" customWidth="1"/>
    <col min="6661" max="6661" width="7.7109375" customWidth="1"/>
    <col min="6662" max="6662" width="9.7109375" customWidth="1"/>
    <col min="6663" max="6664" width="5.7109375" customWidth="1"/>
    <col min="6665" max="6665" width="6.7109375" customWidth="1"/>
    <col min="6666" max="6666" width="11.85546875" customWidth="1"/>
    <col min="6667" max="6668" width="8.7109375" customWidth="1"/>
    <col min="6914" max="6914" width="2.28515625" customWidth="1"/>
    <col min="6915" max="6915" width="21.28515625" customWidth="1"/>
    <col min="6916" max="6916" width="8.7109375" customWidth="1"/>
    <col min="6917" max="6917" width="7.7109375" customWidth="1"/>
    <col min="6918" max="6918" width="9.7109375" customWidth="1"/>
    <col min="6919" max="6920" width="5.7109375" customWidth="1"/>
    <col min="6921" max="6921" width="6.7109375" customWidth="1"/>
    <col min="6922" max="6922" width="11.85546875" customWidth="1"/>
    <col min="6923" max="6924" width="8.7109375" customWidth="1"/>
    <col min="7170" max="7170" width="2.28515625" customWidth="1"/>
    <col min="7171" max="7171" width="21.28515625" customWidth="1"/>
    <col min="7172" max="7172" width="8.7109375" customWidth="1"/>
    <col min="7173" max="7173" width="7.7109375" customWidth="1"/>
    <col min="7174" max="7174" width="9.7109375" customWidth="1"/>
    <col min="7175" max="7176" width="5.7109375" customWidth="1"/>
    <col min="7177" max="7177" width="6.7109375" customWidth="1"/>
    <col min="7178" max="7178" width="11.85546875" customWidth="1"/>
    <col min="7179" max="7180" width="8.7109375" customWidth="1"/>
    <col min="7426" max="7426" width="2.28515625" customWidth="1"/>
    <col min="7427" max="7427" width="21.28515625" customWidth="1"/>
    <col min="7428" max="7428" width="8.7109375" customWidth="1"/>
    <col min="7429" max="7429" width="7.7109375" customWidth="1"/>
    <col min="7430" max="7430" width="9.7109375" customWidth="1"/>
    <col min="7431" max="7432" width="5.7109375" customWidth="1"/>
    <col min="7433" max="7433" width="6.7109375" customWidth="1"/>
    <col min="7434" max="7434" width="11.85546875" customWidth="1"/>
    <col min="7435" max="7436" width="8.7109375" customWidth="1"/>
    <col min="7682" max="7682" width="2.28515625" customWidth="1"/>
    <col min="7683" max="7683" width="21.28515625" customWidth="1"/>
    <col min="7684" max="7684" width="8.7109375" customWidth="1"/>
    <col min="7685" max="7685" width="7.7109375" customWidth="1"/>
    <col min="7686" max="7686" width="9.7109375" customWidth="1"/>
    <col min="7687" max="7688" width="5.7109375" customWidth="1"/>
    <col min="7689" max="7689" width="6.7109375" customWidth="1"/>
    <col min="7690" max="7690" width="11.85546875" customWidth="1"/>
    <col min="7691" max="7692" width="8.7109375" customWidth="1"/>
    <col min="7938" max="7938" width="2.28515625" customWidth="1"/>
    <col min="7939" max="7939" width="21.28515625" customWidth="1"/>
    <col min="7940" max="7940" width="8.7109375" customWidth="1"/>
    <col min="7941" max="7941" width="7.7109375" customWidth="1"/>
    <col min="7942" max="7942" width="9.7109375" customWidth="1"/>
    <col min="7943" max="7944" width="5.7109375" customWidth="1"/>
    <col min="7945" max="7945" width="6.7109375" customWidth="1"/>
    <col min="7946" max="7946" width="11.85546875" customWidth="1"/>
    <col min="7947" max="7948" width="8.7109375" customWidth="1"/>
    <col min="8194" max="8194" width="2.28515625" customWidth="1"/>
    <col min="8195" max="8195" width="21.28515625" customWidth="1"/>
    <col min="8196" max="8196" width="8.7109375" customWidth="1"/>
    <col min="8197" max="8197" width="7.7109375" customWidth="1"/>
    <col min="8198" max="8198" width="9.7109375" customWidth="1"/>
    <col min="8199" max="8200" width="5.7109375" customWidth="1"/>
    <col min="8201" max="8201" width="6.7109375" customWidth="1"/>
    <col min="8202" max="8202" width="11.85546875" customWidth="1"/>
    <col min="8203" max="8204" width="8.7109375" customWidth="1"/>
    <col min="8450" max="8450" width="2.28515625" customWidth="1"/>
    <col min="8451" max="8451" width="21.28515625" customWidth="1"/>
    <col min="8452" max="8452" width="8.7109375" customWidth="1"/>
    <col min="8453" max="8453" width="7.7109375" customWidth="1"/>
    <col min="8454" max="8454" width="9.7109375" customWidth="1"/>
    <col min="8455" max="8456" width="5.7109375" customWidth="1"/>
    <col min="8457" max="8457" width="6.7109375" customWidth="1"/>
    <col min="8458" max="8458" width="11.85546875" customWidth="1"/>
    <col min="8459" max="8460" width="8.7109375" customWidth="1"/>
    <col min="8706" max="8706" width="2.28515625" customWidth="1"/>
    <col min="8707" max="8707" width="21.28515625" customWidth="1"/>
    <col min="8708" max="8708" width="8.7109375" customWidth="1"/>
    <col min="8709" max="8709" width="7.7109375" customWidth="1"/>
    <col min="8710" max="8710" width="9.7109375" customWidth="1"/>
    <col min="8711" max="8712" width="5.7109375" customWidth="1"/>
    <col min="8713" max="8713" width="6.7109375" customWidth="1"/>
    <col min="8714" max="8714" width="11.85546875" customWidth="1"/>
    <col min="8715" max="8716" width="8.7109375" customWidth="1"/>
    <col min="8962" max="8962" width="2.28515625" customWidth="1"/>
    <col min="8963" max="8963" width="21.28515625" customWidth="1"/>
    <col min="8964" max="8964" width="8.7109375" customWidth="1"/>
    <col min="8965" max="8965" width="7.7109375" customWidth="1"/>
    <col min="8966" max="8966" width="9.7109375" customWidth="1"/>
    <col min="8967" max="8968" width="5.7109375" customWidth="1"/>
    <col min="8969" max="8969" width="6.7109375" customWidth="1"/>
    <col min="8970" max="8970" width="11.85546875" customWidth="1"/>
    <col min="8971" max="8972" width="8.7109375" customWidth="1"/>
    <col min="9218" max="9218" width="2.28515625" customWidth="1"/>
    <col min="9219" max="9219" width="21.28515625" customWidth="1"/>
    <col min="9220" max="9220" width="8.7109375" customWidth="1"/>
    <col min="9221" max="9221" width="7.7109375" customWidth="1"/>
    <col min="9222" max="9222" width="9.7109375" customWidth="1"/>
    <col min="9223" max="9224" width="5.7109375" customWidth="1"/>
    <col min="9225" max="9225" width="6.7109375" customWidth="1"/>
    <col min="9226" max="9226" width="11.85546875" customWidth="1"/>
    <col min="9227" max="9228" width="8.7109375" customWidth="1"/>
    <col min="9474" max="9474" width="2.28515625" customWidth="1"/>
    <col min="9475" max="9475" width="21.28515625" customWidth="1"/>
    <col min="9476" max="9476" width="8.7109375" customWidth="1"/>
    <col min="9477" max="9477" width="7.7109375" customWidth="1"/>
    <col min="9478" max="9478" width="9.7109375" customWidth="1"/>
    <col min="9479" max="9480" width="5.7109375" customWidth="1"/>
    <col min="9481" max="9481" width="6.7109375" customWidth="1"/>
    <col min="9482" max="9482" width="11.85546875" customWidth="1"/>
    <col min="9483" max="9484" width="8.7109375" customWidth="1"/>
    <col min="9730" max="9730" width="2.28515625" customWidth="1"/>
    <col min="9731" max="9731" width="21.28515625" customWidth="1"/>
    <col min="9732" max="9732" width="8.7109375" customWidth="1"/>
    <col min="9733" max="9733" width="7.7109375" customWidth="1"/>
    <col min="9734" max="9734" width="9.7109375" customWidth="1"/>
    <col min="9735" max="9736" width="5.7109375" customWidth="1"/>
    <col min="9737" max="9737" width="6.7109375" customWidth="1"/>
    <col min="9738" max="9738" width="11.85546875" customWidth="1"/>
    <col min="9739" max="9740" width="8.7109375" customWidth="1"/>
    <col min="9986" max="9986" width="2.28515625" customWidth="1"/>
    <col min="9987" max="9987" width="21.28515625" customWidth="1"/>
    <col min="9988" max="9988" width="8.7109375" customWidth="1"/>
    <col min="9989" max="9989" width="7.7109375" customWidth="1"/>
    <col min="9990" max="9990" width="9.7109375" customWidth="1"/>
    <col min="9991" max="9992" width="5.7109375" customWidth="1"/>
    <col min="9993" max="9993" width="6.7109375" customWidth="1"/>
    <col min="9994" max="9994" width="11.85546875" customWidth="1"/>
    <col min="9995" max="9996" width="8.7109375" customWidth="1"/>
    <col min="10242" max="10242" width="2.28515625" customWidth="1"/>
    <col min="10243" max="10243" width="21.28515625" customWidth="1"/>
    <col min="10244" max="10244" width="8.7109375" customWidth="1"/>
    <col min="10245" max="10245" width="7.7109375" customWidth="1"/>
    <col min="10246" max="10246" width="9.7109375" customWidth="1"/>
    <col min="10247" max="10248" width="5.7109375" customWidth="1"/>
    <col min="10249" max="10249" width="6.7109375" customWidth="1"/>
    <col min="10250" max="10250" width="11.85546875" customWidth="1"/>
    <col min="10251" max="10252" width="8.7109375" customWidth="1"/>
    <col min="10498" max="10498" width="2.28515625" customWidth="1"/>
    <col min="10499" max="10499" width="21.28515625" customWidth="1"/>
    <col min="10500" max="10500" width="8.7109375" customWidth="1"/>
    <col min="10501" max="10501" width="7.7109375" customWidth="1"/>
    <col min="10502" max="10502" width="9.7109375" customWidth="1"/>
    <col min="10503" max="10504" width="5.7109375" customWidth="1"/>
    <col min="10505" max="10505" width="6.7109375" customWidth="1"/>
    <col min="10506" max="10506" width="11.85546875" customWidth="1"/>
    <col min="10507" max="10508" width="8.7109375" customWidth="1"/>
    <col min="10754" max="10754" width="2.28515625" customWidth="1"/>
    <col min="10755" max="10755" width="21.28515625" customWidth="1"/>
    <col min="10756" max="10756" width="8.7109375" customWidth="1"/>
    <col min="10757" max="10757" width="7.7109375" customWidth="1"/>
    <col min="10758" max="10758" width="9.7109375" customWidth="1"/>
    <col min="10759" max="10760" width="5.7109375" customWidth="1"/>
    <col min="10761" max="10761" width="6.7109375" customWidth="1"/>
    <col min="10762" max="10762" width="11.85546875" customWidth="1"/>
    <col min="10763" max="10764" width="8.7109375" customWidth="1"/>
    <col min="11010" max="11010" width="2.28515625" customWidth="1"/>
    <col min="11011" max="11011" width="21.28515625" customWidth="1"/>
    <col min="11012" max="11012" width="8.7109375" customWidth="1"/>
    <col min="11013" max="11013" width="7.7109375" customWidth="1"/>
    <col min="11014" max="11014" width="9.7109375" customWidth="1"/>
    <col min="11015" max="11016" width="5.7109375" customWidth="1"/>
    <col min="11017" max="11017" width="6.7109375" customWidth="1"/>
    <col min="11018" max="11018" width="11.85546875" customWidth="1"/>
    <col min="11019" max="11020" width="8.7109375" customWidth="1"/>
    <col min="11266" max="11266" width="2.28515625" customWidth="1"/>
    <col min="11267" max="11267" width="21.28515625" customWidth="1"/>
    <col min="11268" max="11268" width="8.7109375" customWidth="1"/>
    <col min="11269" max="11269" width="7.7109375" customWidth="1"/>
    <col min="11270" max="11270" width="9.7109375" customWidth="1"/>
    <col min="11271" max="11272" width="5.7109375" customWidth="1"/>
    <col min="11273" max="11273" width="6.7109375" customWidth="1"/>
    <col min="11274" max="11274" width="11.85546875" customWidth="1"/>
    <col min="11275" max="11276" width="8.7109375" customWidth="1"/>
    <col min="11522" max="11522" width="2.28515625" customWidth="1"/>
    <col min="11523" max="11523" width="21.28515625" customWidth="1"/>
    <col min="11524" max="11524" width="8.7109375" customWidth="1"/>
    <col min="11525" max="11525" width="7.7109375" customWidth="1"/>
    <col min="11526" max="11526" width="9.7109375" customWidth="1"/>
    <col min="11527" max="11528" width="5.7109375" customWidth="1"/>
    <col min="11529" max="11529" width="6.7109375" customWidth="1"/>
    <col min="11530" max="11530" width="11.85546875" customWidth="1"/>
    <col min="11531" max="11532" width="8.7109375" customWidth="1"/>
    <col min="11778" max="11778" width="2.28515625" customWidth="1"/>
    <col min="11779" max="11779" width="21.28515625" customWidth="1"/>
    <col min="11780" max="11780" width="8.7109375" customWidth="1"/>
    <col min="11781" max="11781" width="7.7109375" customWidth="1"/>
    <col min="11782" max="11782" width="9.7109375" customWidth="1"/>
    <col min="11783" max="11784" width="5.7109375" customWidth="1"/>
    <col min="11785" max="11785" width="6.7109375" customWidth="1"/>
    <col min="11786" max="11786" width="11.85546875" customWidth="1"/>
    <col min="11787" max="11788" width="8.7109375" customWidth="1"/>
    <col min="12034" max="12034" width="2.28515625" customWidth="1"/>
    <col min="12035" max="12035" width="21.28515625" customWidth="1"/>
    <col min="12036" max="12036" width="8.7109375" customWidth="1"/>
    <col min="12037" max="12037" width="7.7109375" customWidth="1"/>
    <col min="12038" max="12038" width="9.7109375" customWidth="1"/>
    <col min="12039" max="12040" width="5.7109375" customWidth="1"/>
    <col min="12041" max="12041" width="6.7109375" customWidth="1"/>
    <col min="12042" max="12042" width="11.85546875" customWidth="1"/>
    <col min="12043" max="12044" width="8.7109375" customWidth="1"/>
    <col min="12290" max="12290" width="2.28515625" customWidth="1"/>
    <col min="12291" max="12291" width="21.28515625" customWidth="1"/>
    <col min="12292" max="12292" width="8.7109375" customWidth="1"/>
    <col min="12293" max="12293" width="7.7109375" customWidth="1"/>
    <col min="12294" max="12294" width="9.7109375" customWidth="1"/>
    <col min="12295" max="12296" width="5.7109375" customWidth="1"/>
    <col min="12297" max="12297" width="6.7109375" customWidth="1"/>
    <col min="12298" max="12298" width="11.85546875" customWidth="1"/>
    <col min="12299" max="12300" width="8.7109375" customWidth="1"/>
    <col min="12546" max="12546" width="2.28515625" customWidth="1"/>
    <col min="12547" max="12547" width="21.28515625" customWidth="1"/>
    <col min="12548" max="12548" width="8.7109375" customWidth="1"/>
    <col min="12549" max="12549" width="7.7109375" customWidth="1"/>
    <col min="12550" max="12550" width="9.7109375" customWidth="1"/>
    <col min="12551" max="12552" width="5.7109375" customWidth="1"/>
    <col min="12553" max="12553" width="6.7109375" customWidth="1"/>
    <col min="12554" max="12554" width="11.85546875" customWidth="1"/>
    <col min="12555" max="12556" width="8.7109375" customWidth="1"/>
    <col min="12802" max="12802" width="2.28515625" customWidth="1"/>
    <col min="12803" max="12803" width="21.28515625" customWidth="1"/>
    <col min="12804" max="12804" width="8.7109375" customWidth="1"/>
    <col min="12805" max="12805" width="7.7109375" customWidth="1"/>
    <col min="12806" max="12806" width="9.7109375" customWidth="1"/>
    <col min="12807" max="12808" width="5.7109375" customWidth="1"/>
    <col min="12809" max="12809" width="6.7109375" customWidth="1"/>
    <col min="12810" max="12810" width="11.85546875" customWidth="1"/>
    <col min="12811" max="12812" width="8.7109375" customWidth="1"/>
    <col min="13058" max="13058" width="2.28515625" customWidth="1"/>
    <col min="13059" max="13059" width="21.28515625" customWidth="1"/>
    <col min="13060" max="13060" width="8.7109375" customWidth="1"/>
    <col min="13061" max="13061" width="7.7109375" customWidth="1"/>
    <col min="13062" max="13062" width="9.7109375" customWidth="1"/>
    <col min="13063" max="13064" width="5.7109375" customWidth="1"/>
    <col min="13065" max="13065" width="6.7109375" customWidth="1"/>
    <col min="13066" max="13066" width="11.85546875" customWidth="1"/>
    <col min="13067" max="13068" width="8.7109375" customWidth="1"/>
    <col min="13314" max="13314" width="2.28515625" customWidth="1"/>
    <col min="13315" max="13315" width="21.28515625" customWidth="1"/>
    <col min="13316" max="13316" width="8.7109375" customWidth="1"/>
    <col min="13317" max="13317" width="7.7109375" customWidth="1"/>
    <col min="13318" max="13318" width="9.7109375" customWidth="1"/>
    <col min="13319" max="13320" width="5.7109375" customWidth="1"/>
    <col min="13321" max="13321" width="6.7109375" customWidth="1"/>
    <col min="13322" max="13322" width="11.85546875" customWidth="1"/>
    <col min="13323" max="13324" width="8.7109375" customWidth="1"/>
    <col min="13570" max="13570" width="2.28515625" customWidth="1"/>
    <col min="13571" max="13571" width="21.28515625" customWidth="1"/>
    <col min="13572" max="13572" width="8.7109375" customWidth="1"/>
    <col min="13573" max="13573" width="7.7109375" customWidth="1"/>
    <col min="13574" max="13574" width="9.7109375" customWidth="1"/>
    <col min="13575" max="13576" width="5.7109375" customWidth="1"/>
    <col min="13577" max="13577" width="6.7109375" customWidth="1"/>
    <col min="13578" max="13578" width="11.85546875" customWidth="1"/>
    <col min="13579" max="13580" width="8.7109375" customWidth="1"/>
    <col min="13826" max="13826" width="2.28515625" customWidth="1"/>
    <col min="13827" max="13827" width="21.28515625" customWidth="1"/>
    <col min="13828" max="13828" width="8.7109375" customWidth="1"/>
    <col min="13829" max="13829" width="7.7109375" customWidth="1"/>
    <col min="13830" max="13830" width="9.7109375" customWidth="1"/>
    <col min="13831" max="13832" width="5.7109375" customWidth="1"/>
    <col min="13833" max="13833" width="6.7109375" customWidth="1"/>
    <col min="13834" max="13834" width="11.85546875" customWidth="1"/>
    <col min="13835" max="13836" width="8.7109375" customWidth="1"/>
    <col min="14082" max="14082" width="2.28515625" customWidth="1"/>
    <col min="14083" max="14083" width="21.28515625" customWidth="1"/>
    <col min="14084" max="14084" width="8.7109375" customWidth="1"/>
    <col min="14085" max="14085" width="7.7109375" customWidth="1"/>
    <col min="14086" max="14086" width="9.7109375" customWidth="1"/>
    <col min="14087" max="14088" width="5.7109375" customWidth="1"/>
    <col min="14089" max="14089" width="6.7109375" customWidth="1"/>
    <col min="14090" max="14090" width="11.85546875" customWidth="1"/>
    <col min="14091" max="14092" width="8.7109375" customWidth="1"/>
    <col min="14338" max="14338" width="2.28515625" customWidth="1"/>
    <col min="14339" max="14339" width="21.28515625" customWidth="1"/>
    <col min="14340" max="14340" width="8.7109375" customWidth="1"/>
    <col min="14341" max="14341" width="7.7109375" customWidth="1"/>
    <col min="14342" max="14342" width="9.7109375" customWidth="1"/>
    <col min="14343" max="14344" width="5.7109375" customWidth="1"/>
    <col min="14345" max="14345" width="6.7109375" customWidth="1"/>
    <col min="14346" max="14346" width="11.85546875" customWidth="1"/>
    <col min="14347" max="14348" width="8.7109375" customWidth="1"/>
    <col min="14594" max="14594" width="2.28515625" customWidth="1"/>
    <col min="14595" max="14595" width="21.28515625" customWidth="1"/>
    <col min="14596" max="14596" width="8.7109375" customWidth="1"/>
    <col min="14597" max="14597" width="7.7109375" customWidth="1"/>
    <col min="14598" max="14598" width="9.7109375" customWidth="1"/>
    <col min="14599" max="14600" width="5.7109375" customWidth="1"/>
    <col min="14601" max="14601" width="6.7109375" customWidth="1"/>
    <col min="14602" max="14602" width="11.85546875" customWidth="1"/>
    <col min="14603" max="14604" width="8.7109375" customWidth="1"/>
    <col min="14850" max="14850" width="2.28515625" customWidth="1"/>
    <col min="14851" max="14851" width="21.28515625" customWidth="1"/>
    <col min="14852" max="14852" width="8.7109375" customWidth="1"/>
    <col min="14853" max="14853" width="7.7109375" customWidth="1"/>
    <col min="14854" max="14854" width="9.7109375" customWidth="1"/>
    <col min="14855" max="14856" width="5.7109375" customWidth="1"/>
    <col min="14857" max="14857" width="6.7109375" customWidth="1"/>
    <col min="14858" max="14858" width="11.85546875" customWidth="1"/>
    <col min="14859" max="14860" width="8.7109375" customWidth="1"/>
    <col min="15106" max="15106" width="2.28515625" customWidth="1"/>
    <col min="15107" max="15107" width="21.28515625" customWidth="1"/>
    <col min="15108" max="15108" width="8.7109375" customWidth="1"/>
    <col min="15109" max="15109" width="7.7109375" customWidth="1"/>
    <col min="15110" max="15110" width="9.7109375" customWidth="1"/>
    <col min="15111" max="15112" width="5.7109375" customWidth="1"/>
    <col min="15113" max="15113" width="6.7109375" customWidth="1"/>
    <col min="15114" max="15114" width="11.85546875" customWidth="1"/>
    <col min="15115" max="15116" width="8.7109375" customWidth="1"/>
    <col min="15362" max="15362" width="2.28515625" customWidth="1"/>
    <col min="15363" max="15363" width="21.28515625" customWidth="1"/>
    <col min="15364" max="15364" width="8.7109375" customWidth="1"/>
    <col min="15365" max="15365" width="7.7109375" customWidth="1"/>
    <col min="15366" max="15366" width="9.7109375" customWidth="1"/>
    <col min="15367" max="15368" width="5.7109375" customWidth="1"/>
    <col min="15369" max="15369" width="6.7109375" customWidth="1"/>
    <col min="15370" max="15370" width="11.85546875" customWidth="1"/>
    <col min="15371" max="15372" width="8.7109375" customWidth="1"/>
    <col min="15618" max="15618" width="2.28515625" customWidth="1"/>
    <col min="15619" max="15619" width="21.28515625" customWidth="1"/>
    <col min="15620" max="15620" width="8.7109375" customWidth="1"/>
    <col min="15621" max="15621" width="7.7109375" customWidth="1"/>
    <col min="15622" max="15622" width="9.7109375" customWidth="1"/>
    <col min="15623" max="15624" width="5.7109375" customWidth="1"/>
    <col min="15625" max="15625" width="6.7109375" customWidth="1"/>
    <col min="15626" max="15626" width="11.85546875" customWidth="1"/>
    <col min="15627" max="15628" width="8.7109375" customWidth="1"/>
    <col min="15874" max="15874" width="2.28515625" customWidth="1"/>
    <col min="15875" max="15875" width="21.28515625" customWidth="1"/>
    <col min="15876" max="15876" width="8.7109375" customWidth="1"/>
    <col min="15877" max="15877" width="7.7109375" customWidth="1"/>
    <col min="15878" max="15878" width="9.7109375" customWidth="1"/>
    <col min="15879" max="15880" width="5.7109375" customWidth="1"/>
    <col min="15881" max="15881" width="6.7109375" customWidth="1"/>
    <col min="15882" max="15882" width="11.85546875" customWidth="1"/>
    <col min="15883" max="15884" width="8.7109375" customWidth="1"/>
    <col min="16130" max="16130" width="2.28515625" customWidth="1"/>
    <col min="16131" max="16131" width="21.28515625" customWidth="1"/>
    <col min="16132" max="16132" width="8.7109375" customWidth="1"/>
    <col min="16133" max="16133" width="7.7109375" customWidth="1"/>
    <col min="16134" max="16134" width="9.7109375" customWidth="1"/>
    <col min="16135" max="16136" width="5.7109375" customWidth="1"/>
    <col min="16137" max="16137" width="6.7109375" customWidth="1"/>
    <col min="16138" max="16138" width="11.85546875" customWidth="1"/>
    <col min="16139" max="16140" width="8.7109375" customWidth="1"/>
  </cols>
  <sheetData>
    <row r="1" spans="3:15" ht="62.25" customHeight="1" thickBot="1" x14ac:dyDescent="0.3">
      <c r="C1" s="78"/>
      <c r="D1" s="180" t="s">
        <v>211</v>
      </c>
      <c r="E1" s="181"/>
      <c r="F1" s="181"/>
      <c r="G1" s="181"/>
      <c r="H1" s="181"/>
      <c r="I1" s="181"/>
      <c r="J1" s="182"/>
      <c r="K1" s="183"/>
      <c r="L1" s="184"/>
    </row>
    <row r="2" spans="3:15" s="2" customFormat="1" ht="15" customHeight="1" thickBot="1" x14ac:dyDescent="0.25">
      <c r="C2" s="252" t="s">
        <v>42</v>
      </c>
      <c r="D2" s="253"/>
      <c r="E2" s="253"/>
      <c r="F2" s="253"/>
      <c r="G2" s="253"/>
      <c r="H2" s="253"/>
      <c r="I2" s="253"/>
      <c r="J2" s="253"/>
      <c r="K2" s="253"/>
      <c r="L2" s="321"/>
    </row>
    <row r="3" spans="3:15" s="2" customFormat="1" ht="16.5" customHeight="1" thickBot="1" x14ac:dyDescent="0.35">
      <c r="C3" s="322" t="s">
        <v>146</v>
      </c>
      <c r="D3" s="323"/>
      <c r="E3" s="323"/>
      <c r="F3" s="323"/>
      <c r="G3" s="323"/>
      <c r="H3" s="323"/>
      <c r="I3" s="323"/>
      <c r="J3" s="324"/>
      <c r="K3" s="6" t="s">
        <v>1</v>
      </c>
      <c r="L3" s="88">
        <v>41</v>
      </c>
      <c r="N3" s="85" t="s">
        <v>113</v>
      </c>
      <c r="O3" s="86">
        <v>1</v>
      </c>
    </row>
    <row r="4" spans="3:15" s="2" customFormat="1" ht="12" customHeight="1" thickBot="1" x14ac:dyDescent="0.25">
      <c r="C4" s="281" t="s">
        <v>147</v>
      </c>
      <c r="D4" s="278"/>
      <c r="E4" s="282" t="s">
        <v>2</v>
      </c>
      <c r="F4" s="283"/>
      <c r="G4" s="284"/>
      <c r="H4" s="625" t="s">
        <v>3</v>
      </c>
      <c r="I4" s="626"/>
      <c r="J4" s="332" t="str">
        <f>VLOOKUP(L3,[1]PMP_2025!$C$8:$R$52,4,FALSE)</f>
        <v>Neonatología</v>
      </c>
      <c r="K4" s="627"/>
      <c r="L4" s="333"/>
      <c r="N4" s="84" t="s">
        <v>114</v>
      </c>
      <c r="O4" s="83">
        <v>5</v>
      </c>
    </row>
    <row r="5" spans="3:15" s="2" customFormat="1" ht="12" customHeight="1" x14ac:dyDescent="0.2">
      <c r="C5" s="281"/>
      <c r="D5" s="278"/>
      <c r="E5" s="285"/>
      <c r="F5" s="286"/>
      <c r="G5" s="287"/>
      <c r="H5" s="628" t="s">
        <v>4</v>
      </c>
      <c r="I5" s="628"/>
      <c r="J5" s="332" t="str">
        <f>VLOOKUP(L3,[1]PMP_2025!$C$8:$R$52,8,FALSE)</f>
        <v>DRAGER</v>
      </c>
      <c r="K5" s="627"/>
      <c r="L5" s="333"/>
    </row>
    <row r="6" spans="3:15" s="2" customFormat="1" ht="12" customHeight="1" x14ac:dyDescent="0.2">
      <c r="C6" s="91" t="s">
        <v>5</v>
      </c>
      <c r="D6" s="616" t="str">
        <f>VLOOKUP(L3,[1]PMP_2025!$C$8:$R$52,9,FALSE)</f>
        <v>CALEO</v>
      </c>
      <c r="E6" s="215"/>
      <c r="F6" s="215"/>
      <c r="G6" s="216"/>
      <c r="H6" s="327" t="s">
        <v>6</v>
      </c>
      <c r="I6" s="327"/>
      <c r="J6" s="327"/>
      <c r="K6" s="328" t="str">
        <f>VLOOKUP(L3,[1]PMP_2025!$C$8:$R$52,2,FALSE)</f>
        <v>2-115786</v>
      </c>
      <c r="L6" s="329"/>
    </row>
    <row r="7" spans="3:15" s="2" customFormat="1" ht="12" customHeight="1" thickBot="1" x14ac:dyDescent="0.25">
      <c r="C7" s="95" t="s">
        <v>7</v>
      </c>
      <c r="D7" s="616" t="str">
        <f>VLOOKUP(L3,[1]PMP_2025!$C$8:$R$52,10,FALSE)</f>
        <v>ASJL-0013</v>
      </c>
      <c r="E7" s="215"/>
      <c r="F7" s="215"/>
      <c r="G7" s="216"/>
      <c r="H7" s="617" t="s">
        <v>8</v>
      </c>
      <c r="I7" s="617"/>
      <c r="J7" s="617"/>
      <c r="K7" s="618"/>
      <c r="L7" s="619"/>
    </row>
    <row r="8" spans="3:15" s="156" customFormat="1" ht="20.25" customHeight="1" thickBot="1" x14ac:dyDescent="0.3">
      <c r="C8" s="461" t="s">
        <v>260</v>
      </c>
      <c r="D8" s="602"/>
      <c r="E8" s="602"/>
      <c r="F8" s="602"/>
      <c r="G8" s="602"/>
      <c r="H8" s="602"/>
      <c r="I8" s="602"/>
      <c r="J8" s="602"/>
      <c r="K8" s="602"/>
      <c r="L8" s="462"/>
    </row>
    <row r="9" spans="3:15" s="2" customFormat="1" ht="15" customHeight="1" x14ac:dyDescent="0.2">
      <c r="C9" s="623" t="s">
        <v>261</v>
      </c>
      <c r="D9" s="620"/>
      <c r="E9" s="620"/>
      <c r="F9" s="382"/>
      <c r="G9" s="320" t="s">
        <v>37</v>
      </c>
      <c r="H9" s="248"/>
      <c r="I9" s="381" t="s">
        <v>45</v>
      </c>
      <c r="J9" s="620"/>
      <c r="K9" s="620"/>
      <c r="L9" s="621"/>
    </row>
    <row r="10" spans="3:15" s="2" customFormat="1" ht="15" customHeight="1" x14ac:dyDescent="0.2">
      <c r="C10" s="624"/>
      <c r="D10" s="286"/>
      <c r="E10" s="286"/>
      <c r="F10" s="287"/>
      <c r="G10" s="153" t="s">
        <v>38</v>
      </c>
      <c r="H10" s="154" t="s">
        <v>39</v>
      </c>
      <c r="I10" s="285"/>
      <c r="J10" s="286"/>
      <c r="K10" s="286"/>
      <c r="L10" s="622"/>
    </row>
    <row r="11" spans="3:15" s="156" customFormat="1" ht="30" customHeight="1" x14ac:dyDescent="0.25">
      <c r="C11" s="407" t="s">
        <v>47</v>
      </c>
      <c r="D11" s="353"/>
      <c r="E11" s="353"/>
      <c r="F11" s="354"/>
      <c r="G11" s="155"/>
      <c r="H11" s="131"/>
      <c r="I11" s="262"/>
      <c r="J11" s="421"/>
      <c r="K11" s="421"/>
      <c r="L11" s="484"/>
    </row>
    <row r="12" spans="3:15" s="156" customFormat="1" ht="30" customHeight="1" x14ac:dyDescent="0.25">
      <c r="C12" s="407" t="s">
        <v>253</v>
      </c>
      <c r="D12" s="353"/>
      <c r="E12" s="353"/>
      <c r="F12" s="354"/>
      <c r="G12" s="155"/>
      <c r="H12" s="131"/>
      <c r="I12" s="262"/>
      <c r="J12" s="421"/>
      <c r="K12" s="421"/>
      <c r="L12" s="484"/>
    </row>
    <row r="13" spans="3:15" s="156" customFormat="1" ht="30" customHeight="1" x14ac:dyDescent="0.25">
      <c r="C13" s="407" t="s">
        <v>215</v>
      </c>
      <c r="D13" s="353"/>
      <c r="E13" s="353"/>
      <c r="F13" s="354"/>
      <c r="G13" s="155"/>
      <c r="H13" s="131"/>
      <c r="I13" s="262"/>
      <c r="J13" s="421"/>
      <c r="K13" s="421"/>
      <c r="L13" s="484"/>
    </row>
    <row r="14" spans="3:15" s="156" customFormat="1" ht="30" customHeight="1" thickBot="1" x14ac:dyDescent="0.3">
      <c r="C14" s="603" t="s">
        <v>52</v>
      </c>
      <c r="D14" s="604"/>
      <c r="E14" s="604"/>
      <c r="F14" s="605"/>
      <c r="G14" s="128"/>
      <c r="H14" s="136"/>
      <c r="I14" s="423"/>
      <c r="J14" s="424"/>
      <c r="K14" s="424"/>
      <c r="L14" s="561"/>
    </row>
    <row r="15" spans="3:15" s="156" customFormat="1" ht="20.25" customHeight="1" thickBot="1" x14ac:dyDescent="0.3">
      <c r="C15" s="461" t="s">
        <v>117</v>
      </c>
      <c r="D15" s="602"/>
      <c r="E15" s="602"/>
      <c r="F15" s="602"/>
      <c r="G15" s="602"/>
      <c r="H15" s="602"/>
      <c r="I15" s="602"/>
      <c r="J15" s="602"/>
      <c r="K15" s="602"/>
      <c r="L15" s="462"/>
    </row>
    <row r="16" spans="3:15" s="2" customFormat="1" ht="15" customHeight="1" x14ac:dyDescent="0.2">
      <c r="C16" s="606" t="s">
        <v>90</v>
      </c>
      <c r="D16" s="607"/>
      <c r="E16" s="607"/>
      <c r="F16" s="607"/>
      <c r="G16" s="607"/>
      <c r="H16" s="607"/>
      <c r="I16" s="608"/>
      <c r="J16" s="612" t="s">
        <v>38</v>
      </c>
      <c r="K16" s="613"/>
      <c r="L16" s="149" t="s">
        <v>39</v>
      </c>
    </row>
    <row r="17" spans="3:12" s="2" customFormat="1" ht="30" customHeight="1" thickBot="1" x14ac:dyDescent="0.25">
      <c r="C17" s="609"/>
      <c r="D17" s="610"/>
      <c r="E17" s="610"/>
      <c r="F17" s="610"/>
      <c r="G17" s="610"/>
      <c r="H17" s="610"/>
      <c r="I17" s="611"/>
      <c r="J17" s="614"/>
      <c r="K17" s="615"/>
      <c r="L17" s="152"/>
    </row>
    <row r="18" spans="3:12" ht="22.15" customHeight="1" x14ac:dyDescent="0.25">
      <c r="C18" s="191" t="s">
        <v>207</v>
      </c>
      <c r="D18" s="192"/>
      <c r="E18" s="193"/>
      <c r="F18" s="191" t="s">
        <v>199</v>
      </c>
      <c r="G18" s="192"/>
      <c r="H18" s="192"/>
      <c r="I18" s="193"/>
      <c r="J18" s="191" t="s">
        <v>93</v>
      </c>
      <c r="K18" s="192"/>
      <c r="L18" s="193"/>
    </row>
    <row r="19" spans="3:12" ht="22.15" customHeight="1" x14ac:dyDescent="0.25">
      <c r="C19" s="194"/>
      <c r="D19" s="195"/>
      <c r="E19" s="196"/>
      <c r="F19" s="194"/>
      <c r="G19" s="195"/>
      <c r="H19" s="195"/>
      <c r="I19" s="196"/>
      <c r="J19" s="194"/>
      <c r="K19" s="195"/>
      <c r="L19" s="196"/>
    </row>
    <row r="20" spans="3:12" ht="22.15" customHeight="1" x14ac:dyDescent="0.25">
      <c r="C20" s="194"/>
      <c r="D20" s="195"/>
      <c r="E20" s="196"/>
      <c r="F20" s="194"/>
      <c r="G20" s="195"/>
      <c r="H20" s="195"/>
      <c r="I20" s="196"/>
      <c r="J20" s="194"/>
      <c r="K20" s="195"/>
      <c r="L20" s="196"/>
    </row>
    <row r="21" spans="3:12" ht="22.15" customHeight="1" x14ac:dyDescent="0.25">
      <c r="C21" s="194"/>
      <c r="D21" s="195"/>
      <c r="E21" s="196"/>
      <c r="F21" s="194"/>
      <c r="G21" s="195"/>
      <c r="H21" s="195"/>
      <c r="I21" s="196"/>
      <c r="J21" s="194"/>
      <c r="K21" s="195"/>
      <c r="L21" s="196"/>
    </row>
    <row r="22" spans="3:12" ht="22.15" customHeight="1" x14ac:dyDescent="0.25">
      <c r="C22" s="194"/>
      <c r="D22" s="195"/>
      <c r="E22" s="196"/>
      <c r="F22" s="194"/>
      <c r="G22" s="195"/>
      <c r="H22" s="195"/>
      <c r="I22" s="196"/>
      <c r="J22" s="194"/>
      <c r="K22" s="195"/>
      <c r="L22" s="196"/>
    </row>
    <row r="23" spans="3:12" ht="22.15" customHeight="1" thickBot="1" x14ac:dyDescent="0.3">
      <c r="C23" s="197"/>
      <c r="D23" s="198"/>
      <c r="E23" s="199"/>
      <c r="F23" s="197"/>
      <c r="G23" s="198"/>
      <c r="H23" s="198"/>
      <c r="I23" s="199"/>
      <c r="J23" s="197"/>
      <c r="K23" s="198"/>
      <c r="L23" s="199"/>
    </row>
  </sheetData>
  <mergeCells count="35">
    <mergeCell ref="D1:J1"/>
    <mergeCell ref="K1:L1"/>
    <mergeCell ref="C2:L2"/>
    <mergeCell ref="C3:J3"/>
    <mergeCell ref="C4:D5"/>
    <mergeCell ref="E4:G5"/>
    <mergeCell ref="H4:I4"/>
    <mergeCell ref="J4:L4"/>
    <mergeCell ref="H5:I5"/>
    <mergeCell ref="J5:L5"/>
    <mergeCell ref="C8:L8"/>
    <mergeCell ref="C11:F11"/>
    <mergeCell ref="D6:G6"/>
    <mergeCell ref="H6:J6"/>
    <mergeCell ref="K6:L6"/>
    <mergeCell ref="D7:G7"/>
    <mergeCell ref="H7:J7"/>
    <mergeCell ref="K7:L7"/>
    <mergeCell ref="I9:L10"/>
    <mergeCell ref="G9:H9"/>
    <mergeCell ref="C9:F10"/>
    <mergeCell ref="F18:I23"/>
    <mergeCell ref="J18:L23"/>
    <mergeCell ref="C16:I17"/>
    <mergeCell ref="J16:K16"/>
    <mergeCell ref="C18:E23"/>
    <mergeCell ref="J17:K17"/>
    <mergeCell ref="C15:L15"/>
    <mergeCell ref="I11:L11"/>
    <mergeCell ref="I12:L12"/>
    <mergeCell ref="I13:L13"/>
    <mergeCell ref="I14:L14"/>
    <mergeCell ref="C12:F12"/>
    <mergeCell ref="C13:F13"/>
    <mergeCell ref="C14:F14"/>
  </mergeCells>
  <conditionalFormatting sqref="J5:L5 D6:G7 K6:L6 H4:J4">
    <cfRule type="cellIs" dxfId="1" priority="1" operator="equal">
      <formula>0</formula>
    </cfRule>
  </conditionalFormatting>
  <pageMargins left="0.7" right="0.7" top="0.75" bottom="0.75" header="0.3" footer="0.3"/>
  <pageSetup paperSize="9" scale="86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13</xdr:col>
                <xdr:colOff>190500</xdr:colOff>
                <xdr:row>4</xdr:row>
                <xdr:rowOff>133350</xdr:rowOff>
              </from>
              <to>
                <xdr:col>15</xdr:col>
                <xdr:colOff>19050</xdr:colOff>
                <xdr:row>6</xdr:row>
                <xdr:rowOff>114300</xdr:rowOff>
              </to>
            </anchor>
          </controlPr>
        </control>
      </mc:Choice>
      <mc:Fallback>
        <control shapeId="25601" r:id="rId4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0">
    <pageSetUpPr fitToPage="1"/>
  </sheetPr>
  <dimension ref="B1:R45"/>
  <sheetViews>
    <sheetView zoomScaleNormal="100" workbookViewId="0">
      <selection activeCell="F4" sqref="F4:K5"/>
    </sheetView>
  </sheetViews>
  <sheetFormatPr baseColWidth="10" defaultRowHeight="12.75" x14ac:dyDescent="0.2"/>
  <cols>
    <col min="1" max="1" width="2.140625" style="2" customWidth="1"/>
    <col min="2" max="2" width="14.85546875" style="2" customWidth="1"/>
    <col min="3" max="3" width="20.5703125" style="2" customWidth="1"/>
    <col min="4" max="4" width="21.28515625" style="2" customWidth="1"/>
    <col min="5" max="5" width="6.140625" style="2" customWidth="1"/>
    <col min="6" max="6" width="6" style="2" customWidth="1"/>
    <col min="7" max="7" width="5.28515625" style="2" customWidth="1"/>
    <col min="8" max="8" width="7.42578125" style="2" customWidth="1"/>
    <col min="9" max="9" width="12.42578125" style="2" customWidth="1"/>
    <col min="10" max="10" width="2.85546875" style="2" customWidth="1"/>
    <col min="11" max="11" width="10" style="2" customWidth="1"/>
    <col min="12" max="94" width="11.42578125" style="2"/>
    <col min="95" max="95" width="2.5703125" style="2" customWidth="1"/>
    <col min="96" max="96" width="13.42578125" style="2" bestFit="1" customWidth="1"/>
    <col min="97" max="97" width="6.7109375" style="2" customWidth="1"/>
    <col min="98" max="98" width="14.7109375" style="2" customWidth="1"/>
    <col min="99" max="99" width="4.85546875" style="2" bestFit="1" customWidth="1"/>
    <col min="100" max="100" width="7.7109375" style="2" customWidth="1"/>
    <col min="101" max="101" width="3.85546875" style="2" customWidth="1"/>
    <col min="102" max="102" width="11.42578125" style="2"/>
    <col min="103" max="103" width="13.42578125" style="2" bestFit="1" customWidth="1"/>
    <col min="104" max="104" width="7.7109375" style="2" customWidth="1"/>
    <col min="105" max="105" width="5.140625" style="2" customWidth="1"/>
    <col min="106" max="350" width="11.42578125" style="2"/>
    <col min="351" max="351" width="2.5703125" style="2" customWidth="1"/>
    <col min="352" max="352" width="13.42578125" style="2" bestFit="1" customWidth="1"/>
    <col min="353" max="353" width="6.7109375" style="2" customWidth="1"/>
    <col min="354" max="354" width="14.7109375" style="2" customWidth="1"/>
    <col min="355" max="355" width="4.85546875" style="2" bestFit="1" customWidth="1"/>
    <col min="356" max="356" width="7.7109375" style="2" customWidth="1"/>
    <col min="357" max="357" width="3.85546875" style="2" customWidth="1"/>
    <col min="358" max="358" width="11.42578125" style="2"/>
    <col min="359" max="359" width="13.42578125" style="2" bestFit="1" customWidth="1"/>
    <col min="360" max="360" width="7.7109375" style="2" customWidth="1"/>
    <col min="361" max="361" width="5.140625" style="2" customWidth="1"/>
    <col min="362" max="606" width="11.42578125" style="2"/>
    <col min="607" max="607" width="2.5703125" style="2" customWidth="1"/>
    <col min="608" max="608" width="13.42578125" style="2" bestFit="1" customWidth="1"/>
    <col min="609" max="609" width="6.7109375" style="2" customWidth="1"/>
    <col min="610" max="610" width="14.7109375" style="2" customWidth="1"/>
    <col min="611" max="611" width="4.85546875" style="2" bestFit="1" customWidth="1"/>
    <col min="612" max="612" width="7.7109375" style="2" customWidth="1"/>
    <col min="613" max="613" width="3.85546875" style="2" customWidth="1"/>
    <col min="614" max="614" width="11.42578125" style="2"/>
    <col min="615" max="615" width="13.42578125" style="2" bestFit="1" customWidth="1"/>
    <col min="616" max="616" width="7.7109375" style="2" customWidth="1"/>
    <col min="617" max="617" width="5.140625" style="2" customWidth="1"/>
    <col min="618" max="862" width="11.42578125" style="2"/>
    <col min="863" max="863" width="2.5703125" style="2" customWidth="1"/>
    <col min="864" max="864" width="13.42578125" style="2" bestFit="1" customWidth="1"/>
    <col min="865" max="865" width="6.7109375" style="2" customWidth="1"/>
    <col min="866" max="866" width="14.7109375" style="2" customWidth="1"/>
    <col min="867" max="867" width="4.85546875" style="2" bestFit="1" customWidth="1"/>
    <col min="868" max="868" width="7.7109375" style="2" customWidth="1"/>
    <col min="869" max="869" width="3.85546875" style="2" customWidth="1"/>
    <col min="870" max="870" width="11.42578125" style="2"/>
    <col min="871" max="871" width="13.42578125" style="2" bestFit="1" customWidth="1"/>
    <col min="872" max="872" width="7.7109375" style="2" customWidth="1"/>
    <col min="873" max="873" width="5.140625" style="2" customWidth="1"/>
    <col min="874" max="1118" width="11.42578125" style="2"/>
    <col min="1119" max="1119" width="2.5703125" style="2" customWidth="1"/>
    <col min="1120" max="1120" width="13.42578125" style="2" bestFit="1" customWidth="1"/>
    <col min="1121" max="1121" width="6.7109375" style="2" customWidth="1"/>
    <col min="1122" max="1122" width="14.7109375" style="2" customWidth="1"/>
    <col min="1123" max="1123" width="4.85546875" style="2" bestFit="1" customWidth="1"/>
    <col min="1124" max="1124" width="7.7109375" style="2" customWidth="1"/>
    <col min="1125" max="1125" width="3.85546875" style="2" customWidth="1"/>
    <col min="1126" max="1126" width="11.42578125" style="2"/>
    <col min="1127" max="1127" width="13.42578125" style="2" bestFit="1" customWidth="1"/>
    <col min="1128" max="1128" width="7.7109375" style="2" customWidth="1"/>
    <col min="1129" max="1129" width="5.140625" style="2" customWidth="1"/>
    <col min="1130" max="1374" width="11.42578125" style="2"/>
    <col min="1375" max="1375" width="2.5703125" style="2" customWidth="1"/>
    <col min="1376" max="1376" width="13.42578125" style="2" bestFit="1" customWidth="1"/>
    <col min="1377" max="1377" width="6.7109375" style="2" customWidth="1"/>
    <col min="1378" max="1378" width="14.7109375" style="2" customWidth="1"/>
    <col min="1379" max="1379" width="4.85546875" style="2" bestFit="1" customWidth="1"/>
    <col min="1380" max="1380" width="7.7109375" style="2" customWidth="1"/>
    <col min="1381" max="1381" width="3.85546875" style="2" customWidth="1"/>
    <col min="1382" max="1382" width="11.42578125" style="2"/>
    <col min="1383" max="1383" width="13.42578125" style="2" bestFit="1" customWidth="1"/>
    <col min="1384" max="1384" width="7.7109375" style="2" customWidth="1"/>
    <col min="1385" max="1385" width="5.140625" style="2" customWidth="1"/>
    <col min="1386" max="1630" width="11.42578125" style="2"/>
    <col min="1631" max="1631" width="2.5703125" style="2" customWidth="1"/>
    <col min="1632" max="1632" width="13.42578125" style="2" bestFit="1" customWidth="1"/>
    <col min="1633" max="1633" width="6.7109375" style="2" customWidth="1"/>
    <col min="1634" max="1634" width="14.7109375" style="2" customWidth="1"/>
    <col min="1635" max="1635" width="4.85546875" style="2" bestFit="1" customWidth="1"/>
    <col min="1636" max="1636" width="7.7109375" style="2" customWidth="1"/>
    <col min="1637" max="1637" width="3.85546875" style="2" customWidth="1"/>
    <col min="1638" max="1638" width="11.42578125" style="2"/>
    <col min="1639" max="1639" width="13.42578125" style="2" bestFit="1" customWidth="1"/>
    <col min="1640" max="1640" width="7.7109375" style="2" customWidth="1"/>
    <col min="1641" max="1641" width="5.140625" style="2" customWidth="1"/>
    <col min="1642" max="1886" width="11.42578125" style="2"/>
    <col min="1887" max="1887" width="2.5703125" style="2" customWidth="1"/>
    <col min="1888" max="1888" width="13.42578125" style="2" bestFit="1" customWidth="1"/>
    <col min="1889" max="1889" width="6.7109375" style="2" customWidth="1"/>
    <col min="1890" max="1890" width="14.7109375" style="2" customWidth="1"/>
    <col min="1891" max="1891" width="4.85546875" style="2" bestFit="1" customWidth="1"/>
    <col min="1892" max="1892" width="7.7109375" style="2" customWidth="1"/>
    <col min="1893" max="1893" width="3.85546875" style="2" customWidth="1"/>
    <col min="1894" max="1894" width="11.42578125" style="2"/>
    <col min="1895" max="1895" width="13.42578125" style="2" bestFit="1" customWidth="1"/>
    <col min="1896" max="1896" width="7.7109375" style="2" customWidth="1"/>
    <col min="1897" max="1897" width="5.140625" style="2" customWidth="1"/>
    <col min="1898" max="2142" width="11.42578125" style="2"/>
    <col min="2143" max="2143" width="2.5703125" style="2" customWidth="1"/>
    <col min="2144" max="2144" width="13.42578125" style="2" bestFit="1" customWidth="1"/>
    <col min="2145" max="2145" width="6.7109375" style="2" customWidth="1"/>
    <col min="2146" max="2146" width="14.7109375" style="2" customWidth="1"/>
    <col min="2147" max="2147" width="4.85546875" style="2" bestFit="1" customWidth="1"/>
    <col min="2148" max="2148" width="7.7109375" style="2" customWidth="1"/>
    <col min="2149" max="2149" width="3.85546875" style="2" customWidth="1"/>
    <col min="2150" max="2150" width="11.42578125" style="2"/>
    <col min="2151" max="2151" width="13.42578125" style="2" bestFit="1" customWidth="1"/>
    <col min="2152" max="2152" width="7.7109375" style="2" customWidth="1"/>
    <col min="2153" max="2153" width="5.140625" style="2" customWidth="1"/>
    <col min="2154" max="2398" width="11.42578125" style="2"/>
    <col min="2399" max="2399" width="2.5703125" style="2" customWidth="1"/>
    <col min="2400" max="2400" width="13.42578125" style="2" bestFit="1" customWidth="1"/>
    <col min="2401" max="2401" width="6.7109375" style="2" customWidth="1"/>
    <col min="2402" max="2402" width="14.7109375" style="2" customWidth="1"/>
    <col min="2403" max="2403" width="4.85546875" style="2" bestFit="1" customWidth="1"/>
    <col min="2404" max="2404" width="7.7109375" style="2" customWidth="1"/>
    <col min="2405" max="2405" width="3.85546875" style="2" customWidth="1"/>
    <col min="2406" max="2406" width="11.42578125" style="2"/>
    <col min="2407" max="2407" width="13.42578125" style="2" bestFit="1" customWidth="1"/>
    <col min="2408" max="2408" width="7.7109375" style="2" customWidth="1"/>
    <col min="2409" max="2409" width="5.140625" style="2" customWidth="1"/>
    <col min="2410" max="2654" width="11.42578125" style="2"/>
    <col min="2655" max="2655" width="2.5703125" style="2" customWidth="1"/>
    <col min="2656" max="2656" width="13.42578125" style="2" bestFit="1" customWidth="1"/>
    <col min="2657" max="2657" width="6.7109375" style="2" customWidth="1"/>
    <col min="2658" max="2658" width="14.7109375" style="2" customWidth="1"/>
    <col min="2659" max="2659" width="4.85546875" style="2" bestFit="1" customWidth="1"/>
    <col min="2660" max="2660" width="7.7109375" style="2" customWidth="1"/>
    <col min="2661" max="2661" width="3.85546875" style="2" customWidth="1"/>
    <col min="2662" max="2662" width="11.42578125" style="2"/>
    <col min="2663" max="2663" width="13.42578125" style="2" bestFit="1" customWidth="1"/>
    <col min="2664" max="2664" width="7.7109375" style="2" customWidth="1"/>
    <col min="2665" max="2665" width="5.140625" style="2" customWidth="1"/>
    <col min="2666" max="2910" width="11.42578125" style="2"/>
    <col min="2911" max="2911" width="2.5703125" style="2" customWidth="1"/>
    <col min="2912" max="2912" width="13.42578125" style="2" bestFit="1" customWidth="1"/>
    <col min="2913" max="2913" width="6.7109375" style="2" customWidth="1"/>
    <col min="2914" max="2914" width="14.7109375" style="2" customWidth="1"/>
    <col min="2915" max="2915" width="4.85546875" style="2" bestFit="1" customWidth="1"/>
    <col min="2916" max="2916" width="7.7109375" style="2" customWidth="1"/>
    <col min="2917" max="2917" width="3.85546875" style="2" customWidth="1"/>
    <col min="2918" max="2918" width="11.42578125" style="2"/>
    <col min="2919" max="2919" width="13.42578125" style="2" bestFit="1" customWidth="1"/>
    <col min="2920" max="2920" width="7.7109375" style="2" customWidth="1"/>
    <col min="2921" max="2921" width="5.140625" style="2" customWidth="1"/>
    <col min="2922" max="3166" width="11.42578125" style="2"/>
    <col min="3167" max="3167" width="2.5703125" style="2" customWidth="1"/>
    <col min="3168" max="3168" width="13.42578125" style="2" bestFit="1" customWidth="1"/>
    <col min="3169" max="3169" width="6.7109375" style="2" customWidth="1"/>
    <col min="3170" max="3170" width="14.7109375" style="2" customWidth="1"/>
    <col min="3171" max="3171" width="4.85546875" style="2" bestFit="1" customWidth="1"/>
    <col min="3172" max="3172" width="7.7109375" style="2" customWidth="1"/>
    <col min="3173" max="3173" width="3.85546875" style="2" customWidth="1"/>
    <col min="3174" max="3174" width="11.42578125" style="2"/>
    <col min="3175" max="3175" width="13.42578125" style="2" bestFit="1" customWidth="1"/>
    <col min="3176" max="3176" width="7.7109375" style="2" customWidth="1"/>
    <col min="3177" max="3177" width="5.140625" style="2" customWidth="1"/>
    <col min="3178" max="3422" width="11.42578125" style="2"/>
    <col min="3423" max="3423" width="2.5703125" style="2" customWidth="1"/>
    <col min="3424" max="3424" width="13.42578125" style="2" bestFit="1" customWidth="1"/>
    <col min="3425" max="3425" width="6.7109375" style="2" customWidth="1"/>
    <col min="3426" max="3426" width="14.7109375" style="2" customWidth="1"/>
    <col min="3427" max="3427" width="4.85546875" style="2" bestFit="1" customWidth="1"/>
    <col min="3428" max="3428" width="7.7109375" style="2" customWidth="1"/>
    <col min="3429" max="3429" width="3.85546875" style="2" customWidth="1"/>
    <col min="3430" max="3430" width="11.42578125" style="2"/>
    <col min="3431" max="3431" width="13.42578125" style="2" bestFit="1" customWidth="1"/>
    <col min="3432" max="3432" width="7.7109375" style="2" customWidth="1"/>
    <col min="3433" max="3433" width="5.140625" style="2" customWidth="1"/>
    <col min="3434" max="3678" width="11.42578125" style="2"/>
    <col min="3679" max="3679" width="2.5703125" style="2" customWidth="1"/>
    <col min="3680" max="3680" width="13.42578125" style="2" bestFit="1" customWidth="1"/>
    <col min="3681" max="3681" width="6.7109375" style="2" customWidth="1"/>
    <col min="3682" max="3682" width="14.7109375" style="2" customWidth="1"/>
    <col min="3683" max="3683" width="4.85546875" style="2" bestFit="1" customWidth="1"/>
    <col min="3684" max="3684" width="7.7109375" style="2" customWidth="1"/>
    <col min="3685" max="3685" width="3.85546875" style="2" customWidth="1"/>
    <col min="3686" max="3686" width="11.42578125" style="2"/>
    <col min="3687" max="3687" width="13.42578125" style="2" bestFit="1" customWidth="1"/>
    <col min="3688" max="3688" width="7.7109375" style="2" customWidth="1"/>
    <col min="3689" max="3689" width="5.140625" style="2" customWidth="1"/>
    <col min="3690" max="3934" width="11.42578125" style="2"/>
    <col min="3935" max="3935" width="2.5703125" style="2" customWidth="1"/>
    <col min="3936" max="3936" width="13.42578125" style="2" bestFit="1" customWidth="1"/>
    <col min="3937" max="3937" width="6.7109375" style="2" customWidth="1"/>
    <col min="3938" max="3938" width="14.7109375" style="2" customWidth="1"/>
    <col min="3939" max="3939" width="4.85546875" style="2" bestFit="1" customWidth="1"/>
    <col min="3940" max="3940" width="7.7109375" style="2" customWidth="1"/>
    <col min="3941" max="3941" width="3.85546875" style="2" customWidth="1"/>
    <col min="3942" max="3942" width="11.42578125" style="2"/>
    <col min="3943" max="3943" width="13.42578125" style="2" bestFit="1" customWidth="1"/>
    <col min="3944" max="3944" width="7.7109375" style="2" customWidth="1"/>
    <col min="3945" max="3945" width="5.140625" style="2" customWidth="1"/>
    <col min="3946" max="4190" width="11.42578125" style="2"/>
    <col min="4191" max="4191" width="2.5703125" style="2" customWidth="1"/>
    <col min="4192" max="4192" width="13.42578125" style="2" bestFit="1" customWidth="1"/>
    <col min="4193" max="4193" width="6.7109375" style="2" customWidth="1"/>
    <col min="4194" max="4194" width="14.7109375" style="2" customWidth="1"/>
    <col min="4195" max="4195" width="4.85546875" style="2" bestFit="1" customWidth="1"/>
    <col min="4196" max="4196" width="7.7109375" style="2" customWidth="1"/>
    <col min="4197" max="4197" width="3.85546875" style="2" customWidth="1"/>
    <col min="4198" max="4198" width="11.42578125" style="2"/>
    <col min="4199" max="4199" width="13.42578125" style="2" bestFit="1" customWidth="1"/>
    <col min="4200" max="4200" width="7.7109375" style="2" customWidth="1"/>
    <col min="4201" max="4201" width="5.140625" style="2" customWidth="1"/>
    <col min="4202" max="4446" width="11.42578125" style="2"/>
    <col min="4447" max="4447" width="2.5703125" style="2" customWidth="1"/>
    <col min="4448" max="4448" width="13.42578125" style="2" bestFit="1" customWidth="1"/>
    <col min="4449" max="4449" width="6.7109375" style="2" customWidth="1"/>
    <col min="4450" max="4450" width="14.7109375" style="2" customWidth="1"/>
    <col min="4451" max="4451" width="4.85546875" style="2" bestFit="1" customWidth="1"/>
    <col min="4452" max="4452" width="7.7109375" style="2" customWidth="1"/>
    <col min="4453" max="4453" width="3.85546875" style="2" customWidth="1"/>
    <col min="4454" max="4454" width="11.42578125" style="2"/>
    <col min="4455" max="4455" width="13.42578125" style="2" bestFit="1" customWidth="1"/>
    <col min="4456" max="4456" width="7.7109375" style="2" customWidth="1"/>
    <col min="4457" max="4457" width="5.140625" style="2" customWidth="1"/>
    <col min="4458" max="4702" width="11.42578125" style="2"/>
    <col min="4703" max="4703" width="2.5703125" style="2" customWidth="1"/>
    <col min="4704" max="4704" width="13.42578125" style="2" bestFit="1" customWidth="1"/>
    <col min="4705" max="4705" width="6.7109375" style="2" customWidth="1"/>
    <col min="4706" max="4706" width="14.7109375" style="2" customWidth="1"/>
    <col min="4707" max="4707" width="4.85546875" style="2" bestFit="1" customWidth="1"/>
    <col min="4708" max="4708" width="7.7109375" style="2" customWidth="1"/>
    <col min="4709" max="4709" width="3.85546875" style="2" customWidth="1"/>
    <col min="4710" max="4710" width="11.42578125" style="2"/>
    <col min="4711" max="4711" width="13.42578125" style="2" bestFit="1" customWidth="1"/>
    <col min="4712" max="4712" width="7.7109375" style="2" customWidth="1"/>
    <col min="4713" max="4713" width="5.140625" style="2" customWidth="1"/>
    <col min="4714" max="4958" width="11.42578125" style="2"/>
    <col min="4959" max="4959" width="2.5703125" style="2" customWidth="1"/>
    <col min="4960" max="4960" width="13.42578125" style="2" bestFit="1" customWidth="1"/>
    <col min="4961" max="4961" width="6.7109375" style="2" customWidth="1"/>
    <col min="4962" max="4962" width="14.7109375" style="2" customWidth="1"/>
    <col min="4963" max="4963" width="4.85546875" style="2" bestFit="1" customWidth="1"/>
    <col min="4964" max="4964" width="7.7109375" style="2" customWidth="1"/>
    <col min="4965" max="4965" width="3.85546875" style="2" customWidth="1"/>
    <col min="4966" max="4966" width="11.42578125" style="2"/>
    <col min="4967" max="4967" width="13.42578125" style="2" bestFit="1" customWidth="1"/>
    <col min="4968" max="4968" width="7.7109375" style="2" customWidth="1"/>
    <col min="4969" max="4969" width="5.140625" style="2" customWidth="1"/>
    <col min="4970" max="5214" width="11.42578125" style="2"/>
    <col min="5215" max="5215" width="2.5703125" style="2" customWidth="1"/>
    <col min="5216" max="5216" width="13.42578125" style="2" bestFit="1" customWidth="1"/>
    <col min="5217" max="5217" width="6.7109375" style="2" customWidth="1"/>
    <col min="5218" max="5218" width="14.7109375" style="2" customWidth="1"/>
    <col min="5219" max="5219" width="4.85546875" style="2" bestFit="1" customWidth="1"/>
    <col min="5220" max="5220" width="7.7109375" style="2" customWidth="1"/>
    <col min="5221" max="5221" width="3.85546875" style="2" customWidth="1"/>
    <col min="5222" max="5222" width="11.42578125" style="2"/>
    <col min="5223" max="5223" width="13.42578125" style="2" bestFit="1" customWidth="1"/>
    <col min="5224" max="5224" width="7.7109375" style="2" customWidth="1"/>
    <col min="5225" max="5225" width="5.140625" style="2" customWidth="1"/>
    <col min="5226" max="5470" width="11.42578125" style="2"/>
    <col min="5471" max="5471" width="2.5703125" style="2" customWidth="1"/>
    <col min="5472" max="5472" width="13.42578125" style="2" bestFit="1" customWidth="1"/>
    <col min="5473" max="5473" width="6.7109375" style="2" customWidth="1"/>
    <col min="5474" max="5474" width="14.7109375" style="2" customWidth="1"/>
    <col min="5475" max="5475" width="4.85546875" style="2" bestFit="1" customWidth="1"/>
    <col min="5476" max="5476" width="7.7109375" style="2" customWidth="1"/>
    <col min="5477" max="5477" width="3.85546875" style="2" customWidth="1"/>
    <col min="5478" max="5478" width="11.42578125" style="2"/>
    <col min="5479" max="5479" width="13.42578125" style="2" bestFit="1" customWidth="1"/>
    <col min="5480" max="5480" width="7.7109375" style="2" customWidth="1"/>
    <col min="5481" max="5481" width="5.140625" style="2" customWidth="1"/>
    <col min="5482" max="5726" width="11.42578125" style="2"/>
    <col min="5727" max="5727" width="2.5703125" style="2" customWidth="1"/>
    <col min="5728" max="5728" width="13.42578125" style="2" bestFit="1" customWidth="1"/>
    <col min="5729" max="5729" width="6.7109375" style="2" customWidth="1"/>
    <col min="5730" max="5730" width="14.7109375" style="2" customWidth="1"/>
    <col min="5731" max="5731" width="4.85546875" style="2" bestFit="1" customWidth="1"/>
    <col min="5732" max="5732" width="7.7109375" style="2" customWidth="1"/>
    <col min="5733" max="5733" width="3.85546875" style="2" customWidth="1"/>
    <col min="5734" max="5734" width="11.42578125" style="2"/>
    <col min="5735" max="5735" width="13.42578125" style="2" bestFit="1" customWidth="1"/>
    <col min="5736" max="5736" width="7.7109375" style="2" customWidth="1"/>
    <col min="5737" max="5737" width="5.140625" style="2" customWidth="1"/>
    <col min="5738" max="5982" width="11.42578125" style="2"/>
    <col min="5983" max="5983" width="2.5703125" style="2" customWidth="1"/>
    <col min="5984" max="5984" width="13.42578125" style="2" bestFit="1" customWidth="1"/>
    <col min="5985" max="5985" width="6.7109375" style="2" customWidth="1"/>
    <col min="5986" max="5986" width="14.7109375" style="2" customWidth="1"/>
    <col min="5987" max="5987" width="4.85546875" style="2" bestFit="1" customWidth="1"/>
    <col min="5988" max="5988" width="7.7109375" style="2" customWidth="1"/>
    <col min="5989" max="5989" width="3.85546875" style="2" customWidth="1"/>
    <col min="5990" max="5990" width="11.42578125" style="2"/>
    <col min="5991" max="5991" width="13.42578125" style="2" bestFit="1" customWidth="1"/>
    <col min="5992" max="5992" width="7.7109375" style="2" customWidth="1"/>
    <col min="5993" max="5993" width="5.140625" style="2" customWidth="1"/>
    <col min="5994" max="6238" width="11.42578125" style="2"/>
    <col min="6239" max="6239" width="2.5703125" style="2" customWidth="1"/>
    <col min="6240" max="6240" width="13.42578125" style="2" bestFit="1" customWidth="1"/>
    <col min="6241" max="6241" width="6.7109375" style="2" customWidth="1"/>
    <col min="6242" max="6242" width="14.7109375" style="2" customWidth="1"/>
    <col min="6243" max="6243" width="4.85546875" style="2" bestFit="1" customWidth="1"/>
    <col min="6244" max="6244" width="7.7109375" style="2" customWidth="1"/>
    <col min="6245" max="6245" width="3.85546875" style="2" customWidth="1"/>
    <col min="6246" max="6246" width="11.42578125" style="2"/>
    <col min="6247" max="6247" width="13.42578125" style="2" bestFit="1" customWidth="1"/>
    <col min="6248" max="6248" width="7.7109375" style="2" customWidth="1"/>
    <col min="6249" max="6249" width="5.140625" style="2" customWidth="1"/>
    <col min="6250" max="6494" width="11.42578125" style="2"/>
    <col min="6495" max="6495" width="2.5703125" style="2" customWidth="1"/>
    <col min="6496" max="6496" width="13.42578125" style="2" bestFit="1" customWidth="1"/>
    <col min="6497" max="6497" width="6.7109375" style="2" customWidth="1"/>
    <col min="6498" max="6498" width="14.7109375" style="2" customWidth="1"/>
    <col min="6499" max="6499" width="4.85546875" style="2" bestFit="1" customWidth="1"/>
    <col min="6500" max="6500" width="7.7109375" style="2" customWidth="1"/>
    <col min="6501" max="6501" width="3.85546875" style="2" customWidth="1"/>
    <col min="6502" max="6502" width="11.42578125" style="2"/>
    <col min="6503" max="6503" width="13.42578125" style="2" bestFit="1" customWidth="1"/>
    <col min="6504" max="6504" width="7.7109375" style="2" customWidth="1"/>
    <col min="6505" max="6505" width="5.140625" style="2" customWidth="1"/>
    <col min="6506" max="6750" width="11.42578125" style="2"/>
    <col min="6751" max="6751" width="2.5703125" style="2" customWidth="1"/>
    <col min="6752" max="6752" width="13.42578125" style="2" bestFit="1" customWidth="1"/>
    <col min="6753" max="6753" width="6.7109375" style="2" customWidth="1"/>
    <col min="6754" max="6754" width="14.7109375" style="2" customWidth="1"/>
    <col min="6755" max="6755" width="4.85546875" style="2" bestFit="1" customWidth="1"/>
    <col min="6756" max="6756" width="7.7109375" style="2" customWidth="1"/>
    <col min="6757" max="6757" width="3.85546875" style="2" customWidth="1"/>
    <col min="6758" max="6758" width="11.42578125" style="2"/>
    <col min="6759" max="6759" width="13.42578125" style="2" bestFit="1" customWidth="1"/>
    <col min="6760" max="6760" width="7.7109375" style="2" customWidth="1"/>
    <col min="6761" max="6761" width="5.140625" style="2" customWidth="1"/>
    <col min="6762" max="7006" width="11.42578125" style="2"/>
    <col min="7007" max="7007" width="2.5703125" style="2" customWidth="1"/>
    <col min="7008" max="7008" width="13.42578125" style="2" bestFit="1" customWidth="1"/>
    <col min="7009" max="7009" width="6.7109375" style="2" customWidth="1"/>
    <col min="7010" max="7010" width="14.7109375" style="2" customWidth="1"/>
    <col min="7011" max="7011" width="4.85546875" style="2" bestFit="1" customWidth="1"/>
    <col min="7012" max="7012" width="7.7109375" style="2" customWidth="1"/>
    <col min="7013" max="7013" width="3.85546875" style="2" customWidth="1"/>
    <col min="7014" max="7014" width="11.42578125" style="2"/>
    <col min="7015" max="7015" width="13.42578125" style="2" bestFit="1" customWidth="1"/>
    <col min="7016" max="7016" width="7.7109375" style="2" customWidth="1"/>
    <col min="7017" max="7017" width="5.140625" style="2" customWidth="1"/>
    <col min="7018" max="7262" width="11.42578125" style="2"/>
    <col min="7263" max="7263" width="2.5703125" style="2" customWidth="1"/>
    <col min="7264" max="7264" width="13.42578125" style="2" bestFit="1" customWidth="1"/>
    <col min="7265" max="7265" width="6.7109375" style="2" customWidth="1"/>
    <col min="7266" max="7266" width="14.7109375" style="2" customWidth="1"/>
    <col min="7267" max="7267" width="4.85546875" style="2" bestFit="1" customWidth="1"/>
    <col min="7268" max="7268" width="7.7109375" style="2" customWidth="1"/>
    <col min="7269" max="7269" width="3.85546875" style="2" customWidth="1"/>
    <col min="7270" max="7270" width="11.42578125" style="2"/>
    <col min="7271" max="7271" width="13.42578125" style="2" bestFit="1" customWidth="1"/>
    <col min="7272" max="7272" width="7.7109375" style="2" customWidth="1"/>
    <col min="7273" max="7273" width="5.140625" style="2" customWidth="1"/>
    <col min="7274" max="7518" width="11.42578125" style="2"/>
    <col min="7519" max="7519" width="2.5703125" style="2" customWidth="1"/>
    <col min="7520" max="7520" width="13.42578125" style="2" bestFit="1" customWidth="1"/>
    <col min="7521" max="7521" width="6.7109375" style="2" customWidth="1"/>
    <col min="7522" max="7522" width="14.7109375" style="2" customWidth="1"/>
    <col min="7523" max="7523" width="4.85546875" style="2" bestFit="1" customWidth="1"/>
    <col min="7524" max="7524" width="7.7109375" style="2" customWidth="1"/>
    <col min="7525" max="7525" width="3.85546875" style="2" customWidth="1"/>
    <col min="7526" max="7526" width="11.42578125" style="2"/>
    <col min="7527" max="7527" width="13.42578125" style="2" bestFit="1" customWidth="1"/>
    <col min="7528" max="7528" width="7.7109375" style="2" customWidth="1"/>
    <col min="7529" max="7529" width="5.140625" style="2" customWidth="1"/>
    <col min="7530" max="7774" width="11.42578125" style="2"/>
    <col min="7775" max="7775" width="2.5703125" style="2" customWidth="1"/>
    <col min="7776" max="7776" width="13.42578125" style="2" bestFit="1" customWidth="1"/>
    <col min="7777" max="7777" width="6.7109375" style="2" customWidth="1"/>
    <col min="7778" max="7778" width="14.7109375" style="2" customWidth="1"/>
    <col min="7779" max="7779" width="4.85546875" style="2" bestFit="1" customWidth="1"/>
    <col min="7780" max="7780" width="7.7109375" style="2" customWidth="1"/>
    <col min="7781" max="7781" width="3.85546875" style="2" customWidth="1"/>
    <col min="7782" max="7782" width="11.42578125" style="2"/>
    <col min="7783" max="7783" width="13.42578125" style="2" bestFit="1" customWidth="1"/>
    <col min="7784" max="7784" width="7.7109375" style="2" customWidth="1"/>
    <col min="7785" max="7785" width="5.140625" style="2" customWidth="1"/>
    <col min="7786" max="8030" width="11.42578125" style="2"/>
    <col min="8031" max="8031" width="2.5703125" style="2" customWidth="1"/>
    <col min="8032" max="8032" width="13.42578125" style="2" bestFit="1" customWidth="1"/>
    <col min="8033" max="8033" width="6.7109375" style="2" customWidth="1"/>
    <col min="8034" max="8034" width="14.7109375" style="2" customWidth="1"/>
    <col min="8035" max="8035" width="4.85546875" style="2" bestFit="1" customWidth="1"/>
    <col min="8036" max="8036" width="7.7109375" style="2" customWidth="1"/>
    <col min="8037" max="8037" width="3.85546875" style="2" customWidth="1"/>
    <col min="8038" max="8038" width="11.42578125" style="2"/>
    <col min="8039" max="8039" width="13.42578125" style="2" bestFit="1" customWidth="1"/>
    <col min="8040" max="8040" width="7.7109375" style="2" customWidth="1"/>
    <col min="8041" max="8041" width="5.140625" style="2" customWidth="1"/>
    <col min="8042" max="8286" width="11.42578125" style="2"/>
    <col min="8287" max="8287" width="2.5703125" style="2" customWidth="1"/>
    <col min="8288" max="8288" width="13.42578125" style="2" bestFit="1" customWidth="1"/>
    <col min="8289" max="8289" width="6.7109375" style="2" customWidth="1"/>
    <col min="8290" max="8290" width="14.7109375" style="2" customWidth="1"/>
    <col min="8291" max="8291" width="4.85546875" style="2" bestFit="1" customWidth="1"/>
    <col min="8292" max="8292" width="7.7109375" style="2" customWidth="1"/>
    <col min="8293" max="8293" width="3.85546875" style="2" customWidth="1"/>
    <col min="8294" max="8294" width="11.42578125" style="2"/>
    <col min="8295" max="8295" width="13.42578125" style="2" bestFit="1" customWidth="1"/>
    <col min="8296" max="8296" width="7.7109375" style="2" customWidth="1"/>
    <col min="8297" max="8297" width="5.140625" style="2" customWidth="1"/>
    <col min="8298" max="8542" width="11.42578125" style="2"/>
    <col min="8543" max="8543" width="2.5703125" style="2" customWidth="1"/>
    <col min="8544" max="8544" width="13.42578125" style="2" bestFit="1" customWidth="1"/>
    <col min="8545" max="8545" width="6.7109375" style="2" customWidth="1"/>
    <col min="8546" max="8546" width="14.7109375" style="2" customWidth="1"/>
    <col min="8547" max="8547" width="4.85546875" style="2" bestFit="1" customWidth="1"/>
    <col min="8548" max="8548" width="7.7109375" style="2" customWidth="1"/>
    <col min="8549" max="8549" width="3.85546875" style="2" customWidth="1"/>
    <col min="8550" max="8550" width="11.42578125" style="2"/>
    <col min="8551" max="8551" width="13.42578125" style="2" bestFit="1" customWidth="1"/>
    <col min="8552" max="8552" width="7.7109375" style="2" customWidth="1"/>
    <col min="8553" max="8553" width="5.140625" style="2" customWidth="1"/>
    <col min="8554" max="8798" width="11.42578125" style="2"/>
    <col min="8799" max="8799" width="2.5703125" style="2" customWidth="1"/>
    <col min="8800" max="8800" width="13.42578125" style="2" bestFit="1" customWidth="1"/>
    <col min="8801" max="8801" width="6.7109375" style="2" customWidth="1"/>
    <col min="8802" max="8802" width="14.7109375" style="2" customWidth="1"/>
    <col min="8803" max="8803" width="4.85546875" style="2" bestFit="1" customWidth="1"/>
    <col min="8804" max="8804" width="7.7109375" style="2" customWidth="1"/>
    <col min="8805" max="8805" width="3.85546875" style="2" customWidth="1"/>
    <col min="8806" max="8806" width="11.42578125" style="2"/>
    <col min="8807" max="8807" width="13.42578125" style="2" bestFit="1" customWidth="1"/>
    <col min="8808" max="8808" width="7.7109375" style="2" customWidth="1"/>
    <col min="8809" max="8809" width="5.140625" style="2" customWidth="1"/>
    <col min="8810" max="9054" width="11.42578125" style="2"/>
    <col min="9055" max="9055" width="2.5703125" style="2" customWidth="1"/>
    <col min="9056" max="9056" width="13.42578125" style="2" bestFit="1" customWidth="1"/>
    <col min="9057" max="9057" width="6.7109375" style="2" customWidth="1"/>
    <col min="9058" max="9058" width="14.7109375" style="2" customWidth="1"/>
    <col min="9059" max="9059" width="4.85546875" style="2" bestFit="1" customWidth="1"/>
    <col min="9060" max="9060" width="7.7109375" style="2" customWidth="1"/>
    <col min="9061" max="9061" width="3.85546875" style="2" customWidth="1"/>
    <col min="9062" max="9062" width="11.42578125" style="2"/>
    <col min="9063" max="9063" width="13.42578125" style="2" bestFit="1" customWidth="1"/>
    <col min="9064" max="9064" width="7.7109375" style="2" customWidth="1"/>
    <col min="9065" max="9065" width="5.140625" style="2" customWidth="1"/>
    <col min="9066" max="9310" width="11.42578125" style="2"/>
    <col min="9311" max="9311" width="2.5703125" style="2" customWidth="1"/>
    <col min="9312" max="9312" width="13.42578125" style="2" bestFit="1" customWidth="1"/>
    <col min="9313" max="9313" width="6.7109375" style="2" customWidth="1"/>
    <col min="9314" max="9314" width="14.7109375" style="2" customWidth="1"/>
    <col min="9315" max="9315" width="4.85546875" style="2" bestFit="1" customWidth="1"/>
    <col min="9316" max="9316" width="7.7109375" style="2" customWidth="1"/>
    <col min="9317" max="9317" width="3.85546875" style="2" customWidth="1"/>
    <col min="9318" max="9318" width="11.42578125" style="2"/>
    <col min="9319" max="9319" width="13.42578125" style="2" bestFit="1" customWidth="1"/>
    <col min="9320" max="9320" width="7.7109375" style="2" customWidth="1"/>
    <col min="9321" max="9321" width="5.140625" style="2" customWidth="1"/>
    <col min="9322" max="9566" width="11.42578125" style="2"/>
    <col min="9567" max="9567" width="2.5703125" style="2" customWidth="1"/>
    <col min="9568" max="9568" width="13.42578125" style="2" bestFit="1" customWidth="1"/>
    <col min="9569" max="9569" width="6.7109375" style="2" customWidth="1"/>
    <col min="9570" max="9570" width="14.7109375" style="2" customWidth="1"/>
    <col min="9571" max="9571" width="4.85546875" style="2" bestFit="1" customWidth="1"/>
    <col min="9572" max="9572" width="7.7109375" style="2" customWidth="1"/>
    <col min="9573" max="9573" width="3.85546875" style="2" customWidth="1"/>
    <col min="9574" max="9574" width="11.42578125" style="2"/>
    <col min="9575" max="9575" width="13.42578125" style="2" bestFit="1" customWidth="1"/>
    <col min="9576" max="9576" width="7.7109375" style="2" customWidth="1"/>
    <col min="9577" max="9577" width="5.140625" style="2" customWidth="1"/>
    <col min="9578" max="9822" width="11.42578125" style="2"/>
    <col min="9823" max="9823" width="2.5703125" style="2" customWidth="1"/>
    <col min="9824" max="9824" width="13.42578125" style="2" bestFit="1" customWidth="1"/>
    <col min="9825" max="9825" width="6.7109375" style="2" customWidth="1"/>
    <col min="9826" max="9826" width="14.7109375" style="2" customWidth="1"/>
    <col min="9827" max="9827" width="4.85546875" style="2" bestFit="1" customWidth="1"/>
    <col min="9828" max="9828" width="7.7109375" style="2" customWidth="1"/>
    <col min="9829" max="9829" width="3.85546875" style="2" customWidth="1"/>
    <col min="9830" max="9830" width="11.42578125" style="2"/>
    <col min="9831" max="9831" width="13.42578125" style="2" bestFit="1" customWidth="1"/>
    <col min="9832" max="9832" width="7.7109375" style="2" customWidth="1"/>
    <col min="9833" max="9833" width="5.140625" style="2" customWidth="1"/>
    <col min="9834" max="10078" width="11.42578125" style="2"/>
    <col min="10079" max="10079" width="2.5703125" style="2" customWidth="1"/>
    <col min="10080" max="10080" width="13.42578125" style="2" bestFit="1" customWidth="1"/>
    <col min="10081" max="10081" width="6.7109375" style="2" customWidth="1"/>
    <col min="10082" max="10082" width="14.7109375" style="2" customWidth="1"/>
    <col min="10083" max="10083" width="4.85546875" style="2" bestFit="1" customWidth="1"/>
    <col min="10084" max="10084" width="7.7109375" style="2" customWidth="1"/>
    <col min="10085" max="10085" width="3.85546875" style="2" customWidth="1"/>
    <col min="10086" max="10086" width="11.42578125" style="2"/>
    <col min="10087" max="10087" width="13.42578125" style="2" bestFit="1" customWidth="1"/>
    <col min="10088" max="10088" width="7.7109375" style="2" customWidth="1"/>
    <col min="10089" max="10089" width="5.140625" style="2" customWidth="1"/>
    <col min="10090" max="10334" width="11.42578125" style="2"/>
    <col min="10335" max="10335" width="2.5703125" style="2" customWidth="1"/>
    <col min="10336" max="10336" width="13.42578125" style="2" bestFit="1" customWidth="1"/>
    <col min="10337" max="10337" width="6.7109375" style="2" customWidth="1"/>
    <col min="10338" max="10338" width="14.7109375" style="2" customWidth="1"/>
    <col min="10339" max="10339" width="4.85546875" style="2" bestFit="1" customWidth="1"/>
    <col min="10340" max="10340" width="7.7109375" style="2" customWidth="1"/>
    <col min="10341" max="10341" width="3.85546875" style="2" customWidth="1"/>
    <col min="10342" max="10342" width="11.42578125" style="2"/>
    <col min="10343" max="10343" width="13.42578125" style="2" bestFit="1" customWidth="1"/>
    <col min="10344" max="10344" width="7.7109375" style="2" customWidth="1"/>
    <col min="10345" max="10345" width="5.140625" style="2" customWidth="1"/>
    <col min="10346" max="10590" width="11.42578125" style="2"/>
    <col min="10591" max="10591" width="2.5703125" style="2" customWidth="1"/>
    <col min="10592" max="10592" width="13.42578125" style="2" bestFit="1" customWidth="1"/>
    <col min="10593" max="10593" width="6.7109375" style="2" customWidth="1"/>
    <col min="10594" max="10594" width="14.7109375" style="2" customWidth="1"/>
    <col min="10595" max="10595" width="4.85546875" style="2" bestFit="1" customWidth="1"/>
    <col min="10596" max="10596" width="7.7109375" style="2" customWidth="1"/>
    <col min="10597" max="10597" width="3.85546875" style="2" customWidth="1"/>
    <col min="10598" max="10598" width="11.42578125" style="2"/>
    <col min="10599" max="10599" width="13.42578125" style="2" bestFit="1" customWidth="1"/>
    <col min="10600" max="10600" width="7.7109375" style="2" customWidth="1"/>
    <col min="10601" max="10601" width="5.140625" style="2" customWidth="1"/>
    <col min="10602" max="10846" width="11.42578125" style="2"/>
    <col min="10847" max="10847" width="2.5703125" style="2" customWidth="1"/>
    <col min="10848" max="10848" width="13.42578125" style="2" bestFit="1" customWidth="1"/>
    <col min="10849" max="10849" width="6.7109375" style="2" customWidth="1"/>
    <col min="10850" max="10850" width="14.7109375" style="2" customWidth="1"/>
    <col min="10851" max="10851" width="4.85546875" style="2" bestFit="1" customWidth="1"/>
    <col min="10852" max="10852" width="7.7109375" style="2" customWidth="1"/>
    <col min="10853" max="10853" width="3.85546875" style="2" customWidth="1"/>
    <col min="10854" max="10854" width="11.42578125" style="2"/>
    <col min="10855" max="10855" width="13.42578125" style="2" bestFit="1" customWidth="1"/>
    <col min="10856" max="10856" width="7.7109375" style="2" customWidth="1"/>
    <col min="10857" max="10857" width="5.140625" style="2" customWidth="1"/>
    <col min="10858" max="11102" width="11.42578125" style="2"/>
    <col min="11103" max="11103" width="2.5703125" style="2" customWidth="1"/>
    <col min="11104" max="11104" width="13.42578125" style="2" bestFit="1" customWidth="1"/>
    <col min="11105" max="11105" width="6.7109375" style="2" customWidth="1"/>
    <col min="11106" max="11106" width="14.7109375" style="2" customWidth="1"/>
    <col min="11107" max="11107" width="4.85546875" style="2" bestFit="1" customWidth="1"/>
    <col min="11108" max="11108" width="7.7109375" style="2" customWidth="1"/>
    <col min="11109" max="11109" width="3.85546875" style="2" customWidth="1"/>
    <col min="11110" max="11110" width="11.42578125" style="2"/>
    <col min="11111" max="11111" width="13.42578125" style="2" bestFit="1" customWidth="1"/>
    <col min="11112" max="11112" width="7.7109375" style="2" customWidth="1"/>
    <col min="11113" max="11113" width="5.140625" style="2" customWidth="1"/>
    <col min="11114" max="11358" width="11.42578125" style="2"/>
    <col min="11359" max="11359" width="2.5703125" style="2" customWidth="1"/>
    <col min="11360" max="11360" width="13.42578125" style="2" bestFit="1" customWidth="1"/>
    <col min="11361" max="11361" width="6.7109375" style="2" customWidth="1"/>
    <col min="11362" max="11362" width="14.7109375" style="2" customWidth="1"/>
    <col min="11363" max="11363" width="4.85546875" style="2" bestFit="1" customWidth="1"/>
    <col min="11364" max="11364" width="7.7109375" style="2" customWidth="1"/>
    <col min="11365" max="11365" width="3.85546875" style="2" customWidth="1"/>
    <col min="11366" max="11366" width="11.42578125" style="2"/>
    <col min="11367" max="11367" width="13.42578125" style="2" bestFit="1" customWidth="1"/>
    <col min="11368" max="11368" width="7.7109375" style="2" customWidth="1"/>
    <col min="11369" max="11369" width="5.140625" style="2" customWidth="1"/>
    <col min="11370" max="11614" width="11.42578125" style="2"/>
    <col min="11615" max="11615" width="2.5703125" style="2" customWidth="1"/>
    <col min="11616" max="11616" width="13.42578125" style="2" bestFit="1" customWidth="1"/>
    <col min="11617" max="11617" width="6.7109375" style="2" customWidth="1"/>
    <col min="11618" max="11618" width="14.7109375" style="2" customWidth="1"/>
    <col min="11619" max="11619" width="4.85546875" style="2" bestFit="1" customWidth="1"/>
    <col min="11620" max="11620" width="7.7109375" style="2" customWidth="1"/>
    <col min="11621" max="11621" width="3.85546875" style="2" customWidth="1"/>
    <col min="11622" max="11622" width="11.42578125" style="2"/>
    <col min="11623" max="11623" width="13.42578125" style="2" bestFit="1" customWidth="1"/>
    <col min="11624" max="11624" width="7.7109375" style="2" customWidth="1"/>
    <col min="11625" max="11625" width="5.140625" style="2" customWidth="1"/>
    <col min="11626" max="11870" width="11.42578125" style="2"/>
    <col min="11871" max="11871" width="2.5703125" style="2" customWidth="1"/>
    <col min="11872" max="11872" width="13.42578125" style="2" bestFit="1" customWidth="1"/>
    <col min="11873" max="11873" width="6.7109375" style="2" customWidth="1"/>
    <col min="11874" max="11874" width="14.7109375" style="2" customWidth="1"/>
    <col min="11875" max="11875" width="4.85546875" style="2" bestFit="1" customWidth="1"/>
    <col min="11876" max="11876" width="7.7109375" style="2" customWidth="1"/>
    <col min="11877" max="11877" width="3.85546875" style="2" customWidth="1"/>
    <col min="11878" max="11878" width="11.42578125" style="2"/>
    <col min="11879" max="11879" width="13.42578125" style="2" bestFit="1" customWidth="1"/>
    <col min="11880" max="11880" width="7.7109375" style="2" customWidth="1"/>
    <col min="11881" max="11881" width="5.140625" style="2" customWidth="1"/>
    <col min="11882" max="12126" width="11.42578125" style="2"/>
    <col min="12127" max="12127" width="2.5703125" style="2" customWidth="1"/>
    <col min="12128" max="12128" width="13.42578125" style="2" bestFit="1" customWidth="1"/>
    <col min="12129" max="12129" width="6.7109375" style="2" customWidth="1"/>
    <col min="12130" max="12130" width="14.7109375" style="2" customWidth="1"/>
    <col min="12131" max="12131" width="4.85546875" style="2" bestFit="1" customWidth="1"/>
    <col min="12132" max="12132" width="7.7109375" style="2" customWidth="1"/>
    <col min="12133" max="12133" width="3.85546875" style="2" customWidth="1"/>
    <col min="12134" max="12134" width="11.42578125" style="2"/>
    <col min="12135" max="12135" width="13.42578125" style="2" bestFit="1" customWidth="1"/>
    <col min="12136" max="12136" width="7.7109375" style="2" customWidth="1"/>
    <col min="12137" max="12137" width="5.140625" style="2" customWidth="1"/>
    <col min="12138" max="12382" width="11.42578125" style="2"/>
    <col min="12383" max="12383" width="2.5703125" style="2" customWidth="1"/>
    <col min="12384" max="12384" width="13.42578125" style="2" bestFit="1" customWidth="1"/>
    <col min="12385" max="12385" width="6.7109375" style="2" customWidth="1"/>
    <col min="12386" max="12386" width="14.7109375" style="2" customWidth="1"/>
    <col min="12387" max="12387" width="4.85546875" style="2" bestFit="1" customWidth="1"/>
    <col min="12388" max="12388" width="7.7109375" style="2" customWidth="1"/>
    <col min="12389" max="12389" width="3.85546875" style="2" customWidth="1"/>
    <col min="12390" max="12390" width="11.42578125" style="2"/>
    <col min="12391" max="12391" width="13.42578125" style="2" bestFit="1" customWidth="1"/>
    <col min="12392" max="12392" width="7.7109375" style="2" customWidth="1"/>
    <col min="12393" max="12393" width="5.140625" style="2" customWidth="1"/>
    <col min="12394" max="12638" width="11.42578125" style="2"/>
    <col min="12639" max="12639" width="2.5703125" style="2" customWidth="1"/>
    <col min="12640" max="12640" width="13.42578125" style="2" bestFit="1" customWidth="1"/>
    <col min="12641" max="12641" width="6.7109375" style="2" customWidth="1"/>
    <col min="12642" max="12642" width="14.7109375" style="2" customWidth="1"/>
    <col min="12643" max="12643" width="4.85546875" style="2" bestFit="1" customWidth="1"/>
    <col min="12644" max="12644" width="7.7109375" style="2" customWidth="1"/>
    <col min="12645" max="12645" width="3.85546875" style="2" customWidth="1"/>
    <col min="12646" max="12646" width="11.42578125" style="2"/>
    <col min="12647" max="12647" width="13.42578125" style="2" bestFit="1" customWidth="1"/>
    <col min="12648" max="12648" width="7.7109375" style="2" customWidth="1"/>
    <col min="12649" max="12649" width="5.140625" style="2" customWidth="1"/>
    <col min="12650" max="12894" width="11.42578125" style="2"/>
    <col min="12895" max="12895" width="2.5703125" style="2" customWidth="1"/>
    <col min="12896" max="12896" width="13.42578125" style="2" bestFit="1" customWidth="1"/>
    <col min="12897" max="12897" width="6.7109375" style="2" customWidth="1"/>
    <col min="12898" max="12898" width="14.7109375" style="2" customWidth="1"/>
    <col min="12899" max="12899" width="4.85546875" style="2" bestFit="1" customWidth="1"/>
    <col min="12900" max="12900" width="7.7109375" style="2" customWidth="1"/>
    <col min="12901" max="12901" width="3.85546875" style="2" customWidth="1"/>
    <col min="12902" max="12902" width="11.42578125" style="2"/>
    <col min="12903" max="12903" width="13.42578125" style="2" bestFit="1" customWidth="1"/>
    <col min="12904" max="12904" width="7.7109375" style="2" customWidth="1"/>
    <col min="12905" max="12905" width="5.140625" style="2" customWidth="1"/>
    <col min="12906" max="13150" width="11.42578125" style="2"/>
    <col min="13151" max="13151" width="2.5703125" style="2" customWidth="1"/>
    <col min="13152" max="13152" width="13.42578125" style="2" bestFit="1" customWidth="1"/>
    <col min="13153" max="13153" width="6.7109375" style="2" customWidth="1"/>
    <col min="13154" max="13154" width="14.7109375" style="2" customWidth="1"/>
    <col min="13155" max="13155" width="4.85546875" style="2" bestFit="1" customWidth="1"/>
    <col min="13156" max="13156" width="7.7109375" style="2" customWidth="1"/>
    <col min="13157" max="13157" width="3.85546875" style="2" customWidth="1"/>
    <col min="13158" max="13158" width="11.42578125" style="2"/>
    <col min="13159" max="13159" width="13.42578125" style="2" bestFit="1" customWidth="1"/>
    <col min="13160" max="13160" width="7.7109375" style="2" customWidth="1"/>
    <col min="13161" max="13161" width="5.140625" style="2" customWidth="1"/>
    <col min="13162" max="13406" width="11.42578125" style="2"/>
    <col min="13407" max="13407" width="2.5703125" style="2" customWidth="1"/>
    <col min="13408" max="13408" width="13.42578125" style="2" bestFit="1" customWidth="1"/>
    <col min="13409" max="13409" width="6.7109375" style="2" customWidth="1"/>
    <col min="13410" max="13410" width="14.7109375" style="2" customWidth="1"/>
    <col min="13411" max="13411" width="4.85546875" style="2" bestFit="1" customWidth="1"/>
    <col min="13412" max="13412" width="7.7109375" style="2" customWidth="1"/>
    <col min="13413" max="13413" width="3.85546875" style="2" customWidth="1"/>
    <col min="13414" max="13414" width="11.42578125" style="2"/>
    <col min="13415" max="13415" width="13.42578125" style="2" bestFit="1" customWidth="1"/>
    <col min="13416" max="13416" width="7.7109375" style="2" customWidth="1"/>
    <col min="13417" max="13417" width="5.140625" style="2" customWidth="1"/>
    <col min="13418" max="13662" width="11.42578125" style="2"/>
    <col min="13663" max="13663" width="2.5703125" style="2" customWidth="1"/>
    <col min="13664" max="13664" width="13.42578125" style="2" bestFit="1" customWidth="1"/>
    <col min="13665" max="13665" width="6.7109375" style="2" customWidth="1"/>
    <col min="13666" max="13666" width="14.7109375" style="2" customWidth="1"/>
    <col min="13667" max="13667" width="4.85546875" style="2" bestFit="1" customWidth="1"/>
    <col min="13668" max="13668" width="7.7109375" style="2" customWidth="1"/>
    <col min="13669" max="13669" width="3.85546875" style="2" customWidth="1"/>
    <col min="13670" max="13670" width="11.42578125" style="2"/>
    <col min="13671" max="13671" width="13.42578125" style="2" bestFit="1" customWidth="1"/>
    <col min="13672" max="13672" width="7.7109375" style="2" customWidth="1"/>
    <col min="13673" max="13673" width="5.140625" style="2" customWidth="1"/>
    <col min="13674" max="13918" width="11.42578125" style="2"/>
    <col min="13919" max="13919" width="2.5703125" style="2" customWidth="1"/>
    <col min="13920" max="13920" width="13.42578125" style="2" bestFit="1" customWidth="1"/>
    <col min="13921" max="13921" width="6.7109375" style="2" customWidth="1"/>
    <col min="13922" max="13922" width="14.7109375" style="2" customWidth="1"/>
    <col min="13923" max="13923" width="4.85546875" style="2" bestFit="1" customWidth="1"/>
    <col min="13924" max="13924" width="7.7109375" style="2" customWidth="1"/>
    <col min="13925" max="13925" width="3.85546875" style="2" customWidth="1"/>
    <col min="13926" max="13926" width="11.42578125" style="2"/>
    <col min="13927" max="13927" width="13.42578125" style="2" bestFit="1" customWidth="1"/>
    <col min="13928" max="13928" width="7.7109375" style="2" customWidth="1"/>
    <col min="13929" max="13929" width="5.140625" style="2" customWidth="1"/>
    <col min="13930" max="14174" width="11.42578125" style="2"/>
    <col min="14175" max="14175" width="2.5703125" style="2" customWidth="1"/>
    <col min="14176" max="14176" width="13.42578125" style="2" bestFit="1" customWidth="1"/>
    <col min="14177" max="14177" width="6.7109375" style="2" customWidth="1"/>
    <col min="14178" max="14178" width="14.7109375" style="2" customWidth="1"/>
    <col min="14179" max="14179" width="4.85546875" style="2" bestFit="1" customWidth="1"/>
    <col min="14180" max="14180" width="7.7109375" style="2" customWidth="1"/>
    <col min="14181" max="14181" width="3.85546875" style="2" customWidth="1"/>
    <col min="14182" max="14182" width="11.42578125" style="2"/>
    <col min="14183" max="14183" width="13.42578125" style="2" bestFit="1" customWidth="1"/>
    <col min="14184" max="14184" width="7.7109375" style="2" customWidth="1"/>
    <col min="14185" max="14185" width="5.140625" style="2" customWidth="1"/>
    <col min="14186" max="14430" width="11.42578125" style="2"/>
    <col min="14431" max="14431" width="2.5703125" style="2" customWidth="1"/>
    <col min="14432" max="14432" width="13.42578125" style="2" bestFit="1" customWidth="1"/>
    <col min="14433" max="14433" width="6.7109375" style="2" customWidth="1"/>
    <col min="14434" max="14434" width="14.7109375" style="2" customWidth="1"/>
    <col min="14435" max="14435" width="4.85546875" style="2" bestFit="1" customWidth="1"/>
    <col min="14436" max="14436" width="7.7109375" style="2" customWidth="1"/>
    <col min="14437" max="14437" width="3.85546875" style="2" customWidth="1"/>
    <col min="14438" max="14438" width="11.42578125" style="2"/>
    <col min="14439" max="14439" width="13.42578125" style="2" bestFit="1" customWidth="1"/>
    <col min="14440" max="14440" width="7.7109375" style="2" customWidth="1"/>
    <col min="14441" max="14441" width="5.140625" style="2" customWidth="1"/>
    <col min="14442" max="14686" width="11.42578125" style="2"/>
    <col min="14687" max="14687" width="2.5703125" style="2" customWidth="1"/>
    <col min="14688" max="14688" width="13.42578125" style="2" bestFit="1" customWidth="1"/>
    <col min="14689" max="14689" width="6.7109375" style="2" customWidth="1"/>
    <col min="14690" max="14690" width="14.7109375" style="2" customWidth="1"/>
    <col min="14691" max="14691" width="4.85546875" style="2" bestFit="1" customWidth="1"/>
    <col min="14692" max="14692" width="7.7109375" style="2" customWidth="1"/>
    <col min="14693" max="14693" width="3.85546875" style="2" customWidth="1"/>
    <col min="14694" max="14694" width="11.42578125" style="2"/>
    <col min="14695" max="14695" width="13.42578125" style="2" bestFit="1" customWidth="1"/>
    <col min="14696" max="14696" width="7.7109375" style="2" customWidth="1"/>
    <col min="14697" max="14697" width="5.140625" style="2" customWidth="1"/>
    <col min="14698" max="14942" width="11.42578125" style="2"/>
    <col min="14943" max="14943" width="2.5703125" style="2" customWidth="1"/>
    <col min="14944" max="14944" width="13.42578125" style="2" bestFit="1" customWidth="1"/>
    <col min="14945" max="14945" width="6.7109375" style="2" customWidth="1"/>
    <col min="14946" max="14946" width="14.7109375" style="2" customWidth="1"/>
    <col min="14947" max="14947" width="4.85546875" style="2" bestFit="1" customWidth="1"/>
    <col min="14948" max="14948" width="7.7109375" style="2" customWidth="1"/>
    <col min="14949" max="14949" width="3.85546875" style="2" customWidth="1"/>
    <col min="14950" max="14950" width="11.42578125" style="2"/>
    <col min="14951" max="14951" width="13.42578125" style="2" bestFit="1" customWidth="1"/>
    <col min="14952" max="14952" width="7.7109375" style="2" customWidth="1"/>
    <col min="14953" max="14953" width="5.140625" style="2" customWidth="1"/>
    <col min="14954" max="15198" width="11.42578125" style="2"/>
    <col min="15199" max="15199" width="2.5703125" style="2" customWidth="1"/>
    <col min="15200" max="15200" width="13.42578125" style="2" bestFit="1" customWidth="1"/>
    <col min="15201" max="15201" width="6.7109375" style="2" customWidth="1"/>
    <col min="15202" max="15202" width="14.7109375" style="2" customWidth="1"/>
    <col min="15203" max="15203" width="4.85546875" style="2" bestFit="1" customWidth="1"/>
    <col min="15204" max="15204" width="7.7109375" style="2" customWidth="1"/>
    <col min="15205" max="15205" width="3.85546875" style="2" customWidth="1"/>
    <col min="15206" max="15206" width="11.42578125" style="2"/>
    <col min="15207" max="15207" width="13.42578125" style="2" bestFit="1" customWidth="1"/>
    <col min="15208" max="15208" width="7.7109375" style="2" customWidth="1"/>
    <col min="15209" max="15209" width="5.140625" style="2" customWidth="1"/>
    <col min="15210" max="15454" width="11.42578125" style="2"/>
    <col min="15455" max="15455" width="2.5703125" style="2" customWidth="1"/>
    <col min="15456" max="15456" width="13.42578125" style="2" bestFit="1" customWidth="1"/>
    <col min="15457" max="15457" width="6.7109375" style="2" customWidth="1"/>
    <col min="15458" max="15458" width="14.7109375" style="2" customWidth="1"/>
    <col min="15459" max="15459" width="4.85546875" style="2" bestFit="1" customWidth="1"/>
    <col min="15460" max="15460" width="7.7109375" style="2" customWidth="1"/>
    <col min="15461" max="15461" width="3.85546875" style="2" customWidth="1"/>
    <col min="15462" max="15462" width="11.42578125" style="2"/>
    <col min="15463" max="15463" width="13.42578125" style="2" bestFit="1" customWidth="1"/>
    <col min="15464" max="15464" width="7.7109375" style="2" customWidth="1"/>
    <col min="15465" max="15465" width="5.140625" style="2" customWidth="1"/>
    <col min="15466" max="15710" width="11.42578125" style="2"/>
    <col min="15711" max="15711" width="2.5703125" style="2" customWidth="1"/>
    <col min="15712" max="15712" width="13.42578125" style="2" bestFit="1" customWidth="1"/>
    <col min="15713" max="15713" width="6.7109375" style="2" customWidth="1"/>
    <col min="15714" max="15714" width="14.7109375" style="2" customWidth="1"/>
    <col min="15715" max="15715" width="4.85546875" style="2" bestFit="1" customWidth="1"/>
    <col min="15716" max="15716" width="7.7109375" style="2" customWidth="1"/>
    <col min="15717" max="15717" width="3.85546875" style="2" customWidth="1"/>
    <col min="15718" max="15718" width="11.42578125" style="2"/>
    <col min="15719" max="15719" width="13.42578125" style="2" bestFit="1" customWidth="1"/>
    <col min="15720" max="15720" width="7.7109375" style="2" customWidth="1"/>
    <col min="15721" max="15721" width="5.140625" style="2" customWidth="1"/>
    <col min="15722" max="15966" width="11.42578125" style="2"/>
    <col min="15967" max="15967" width="2.5703125" style="2" customWidth="1"/>
    <col min="15968" max="15968" width="13.42578125" style="2" bestFit="1" customWidth="1"/>
    <col min="15969" max="15969" width="6.7109375" style="2" customWidth="1"/>
    <col min="15970" max="15970" width="14.7109375" style="2" customWidth="1"/>
    <col min="15971" max="15971" width="4.85546875" style="2" bestFit="1" customWidth="1"/>
    <col min="15972" max="15972" width="7.7109375" style="2" customWidth="1"/>
    <col min="15973" max="15973" width="3.85546875" style="2" customWidth="1"/>
    <col min="15974" max="15974" width="11.42578125" style="2"/>
    <col min="15975" max="15975" width="13.42578125" style="2" bestFit="1" customWidth="1"/>
    <col min="15976" max="15976" width="7.7109375" style="2" customWidth="1"/>
    <col min="15977" max="15977" width="5.140625" style="2" customWidth="1"/>
    <col min="15978" max="16384" width="11.42578125" style="2"/>
  </cols>
  <sheetData>
    <row r="1" spans="2:18" ht="77.25" customHeight="1" thickBot="1" x14ac:dyDescent="0.3">
      <c r="B1" s="1"/>
      <c r="C1" s="370" t="s">
        <v>218</v>
      </c>
      <c r="D1" s="371"/>
      <c r="E1" s="371"/>
      <c r="F1" s="371"/>
      <c r="G1" s="371"/>
      <c r="H1" s="372"/>
      <c r="I1" s="373"/>
      <c r="J1" s="373"/>
      <c r="K1" s="374"/>
    </row>
    <row r="2" spans="2:18" ht="13.5" thickBot="1" x14ac:dyDescent="0.25">
      <c r="B2" s="375" t="s">
        <v>0</v>
      </c>
      <c r="C2" s="244"/>
      <c r="D2" s="244"/>
      <c r="E2" s="244"/>
      <c r="F2" s="244"/>
      <c r="G2" s="244"/>
      <c r="H2" s="244"/>
      <c r="I2" s="505" t="s">
        <v>1</v>
      </c>
      <c r="J2" s="506"/>
      <c r="K2" s="637">
        <v>132</v>
      </c>
    </row>
    <row r="3" spans="2:18" ht="13.5" thickBot="1" x14ac:dyDescent="0.25">
      <c r="B3" s="375" t="s">
        <v>172</v>
      </c>
      <c r="C3" s="244"/>
      <c r="D3" s="244"/>
      <c r="E3" s="244"/>
      <c r="F3" s="244"/>
      <c r="G3" s="244"/>
      <c r="H3" s="244"/>
      <c r="I3" s="507"/>
      <c r="J3" s="508"/>
      <c r="K3" s="638"/>
    </row>
    <row r="4" spans="2:18" x14ac:dyDescent="0.2">
      <c r="B4" s="631" t="s">
        <v>56</v>
      </c>
      <c r="C4" s="632"/>
      <c r="D4" s="633" t="s">
        <v>2</v>
      </c>
      <c r="E4" s="634"/>
      <c r="F4" s="496" t="s">
        <v>68</v>
      </c>
      <c r="G4" s="497"/>
      <c r="H4" s="497"/>
      <c r="I4" s="497"/>
      <c r="J4" s="497"/>
      <c r="K4" s="498"/>
    </row>
    <row r="5" spans="2:18" x14ac:dyDescent="0.2">
      <c r="B5" s="281"/>
      <c r="C5" s="278"/>
      <c r="D5" s="635"/>
      <c r="E5" s="636"/>
      <c r="F5" s="386"/>
      <c r="G5" s="387"/>
      <c r="H5" s="387"/>
      <c r="I5" s="387"/>
      <c r="J5" s="387"/>
      <c r="K5" s="388"/>
    </row>
    <row r="6" spans="2:18" x14ac:dyDescent="0.2">
      <c r="B6" s="65" t="s">
        <v>3</v>
      </c>
      <c r="C6" s="537" t="e">
        <f>VLOOKUP(K2,[1]PMP_2025!$C$912:$R$980,4,FALSE)</f>
        <v>#N/A</v>
      </c>
      <c r="D6" s="538"/>
      <c r="E6" s="538"/>
      <c r="F6" s="538"/>
      <c r="G6" s="538"/>
      <c r="H6" s="539"/>
      <c r="I6" s="66" t="s">
        <v>81</v>
      </c>
      <c r="J6" s="483" t="e">
        <f>VLOOKUP(K2,[1]PMP_2025!$C$912:$R$980,10,FALSE)</f>
        <v>#N/A</v>
      </c>
      <c r="K6" s="410"/>
      <c r="N6" s="58"/>
    </row>
    <row r="7" spans="2:18" ht="12.75" customHeight="1" x14ac:dyDescent="0.2">
      <c r="B7" s="65" t="s">
        <v>58</v>
      </c>
      <c r="C7" s="537" t="e">
        <f>VLOOKUP(K2,[1]PMP_2025!$C$912:$R$980,3,FALSE)</f>
        <v>#N/A</v>
      </c>
      <c r="D7" s="538"/>
      <c r="E7" s="538"/>
      <c r="F7" s="538"/>
      <c r="G7" s="538"/>
      <c r="H7" s="539"/>
      <c r="I7" s="66" t="s">
        <v>6</v>
      </c>
      <c r="J7" s="483" t="e">
        <f>VLOOKUP(K2,[1]PMP_2025!$C$912:$R$980,2,FALSE)</f>
        <v>#N/A</v>
      </c>
      <c r="K7" s="410"/>
    </row>
    <row r="8" spans="2:18" ht="13.5" thickBot="1" x14ac:dyDescent="0.25">
      <c r="B8" s="67" t="s">
        <v>4</v>
      </c>
      <c r="C8" s="544" t="e">
        <f>VLOOKUP(K2,[1]PMP_2025!$C$912:$R$980,8,FALSE)</f>
        <v>#N/A</v>
      </c>
      <c r="D8" s="545"/>
      <c r="E8" s="640" t="s">
        <v>5</v>
      </c>
      <c r="F8" s="640"/>
      <c r="G8" s="641" t="e">
        <f>VLOOKUP(K2,[1]PMP_2025!$C$912:$R$980,9,FALSE)</f>
        <v>#N/A</v>
      </c>
      <c r="H8" s="641"/>
      <c r="I8" s="68" t="s">
        <v>8</v>
      </c>
      <c r="J8" s="550"/>
      <c r="K8" s="551"/>
    </row>
    <row r="9" spans="2:18" ht="15.75" thickBot="1" x14ac:dyDescent="0.3">
      <c r="B9" s="418" t="s">
        <v>61</v>
      </c>
      <c r="C9" s="244"/>
      <c r="D9" s="244"/>
      <c r="E9" s="639"/>
      <c r="F9" s="639"/>
      <c r="G9" s="639"/>
      <c r="H9" s="639"/>
      <c r="I9" s="244"/>
      <c r="J9" s="244"/>
      <c r="K9" s="245"/>
    </row>
    <row r="10" spans="2:18" x14ac:dyDescent="0.2">
      <c r="B10" s="246" t="s">
        <v>10</v>
      </c>
      <c r="C10" s="247"/>
      <c r="D10" s="248"/>
      <c r="E10" s="225" t="s">
        <v>11</v>
      </c>
      <c r="F10" s="225"/>
      <c r="G10" s="225"/>
      <c r="H10" s="258" t="s">
        <v>12</v>
      </c>
      <c r="I10" s="258"/>
      <c r="J10" s="258"/>
      <c r="K10" s="260"/>
    </row>
    <row r="11" spans="2:18" x14ac:dyDescent="0.2">
      <c r="B11" s="520" t="s">
        <v>85</v>
      </c>
      <c r="C11" s="521"/>
      <c r="D11" s="522"/>
      <c r="E11" s="10" t="s">
        <v>14</v>
      </c>
      <c r="F11" s="10" t="s">
        <v>15</v>
      </c>
      <c r="G11" s="10" t="s">
        <v>16</v>
      </c>
      <c r="H11" s="188"/>
      <c r="I11" s="188"/>
      <c r="J11" s="188"/>
      <c r="K11" s="189"/>
    </row>
    <row r="12" spans="2:18" x14ac:dyDescent="0.2">
      <c r="B12" s="493" t="s">
        <v>173</v>
      </c>
      <c r="C12" s="494"/>
      <c r="D12" s="495"/>
      <c r="E12" s="3"/>
      <c r="F12" s="3"/>
      <c r="G12" s="3"/>
      <c r="H12" s="188"/>
      <c r="I12" s="188"/>
      <c r="J12" s="188"/>
      <c r="K12" s="189"/>
      <c r="O12" s="630"/>
      <c r="P12" s="630"/>
      <c r="Q12" s="630"/>
      <c r="R12" s="630"/>
    </row>
    <row r="13" spans="2:18" x14ac:dyDescent="0.2">
      <c r="B13" s="200" t="s">
        <v>174</v>
      </c>
      <c r="C13" s="201"/>
      <c r="D13" s="201"/>
      <c r="E13" s="3"/>
      <c r="F13" s="3"/>
      <c r="G13" s="3"/>
      <c r="H13" s="188"/>
      <c r="I13" s="188"/>
      <c r="J13" s="188"/>
      <c r="K13" s="189"/>
      <c r="O13" s="630"/>
      <c r="P13" s="630"/>
      <c r="Q13" s="630"/>
      <c r="R13" s="630"/>
    </row>
    <row r="14" spans="2:18" x14ac:dyDescent="0.2">
      <c r="B14" s="200" t="s">
        <v>175</v>
      </c>
      <c r="C14" s="201"/>
      <c r="D14" s="201"/>
      <c r="E14" s="3"/>
      <c r="F14" s="3"/>
      <c r="G14" s="3"/>
      <c r="H14" s="188"/>
      <c r="I14" s="188"/>
      <c r="J14" s="188"/>
      <c r="K14" s="189"/>
      <c r="O14" s="630"/>
      <c r="P14" s="630"/>
      <c r="Q14" s="630"/>
      <c r="R14" s="630"/>
    </row>
    <row r="15" spans="2:18" x14ac:dyDescent="0.2">
      <c r="B15" s="200" t="s">
        <v>176</v>
      </c>
      <c r="C15" s="201"/>
      <c r="D15" s="201"/>
      <c r="E15" s="10"/>
      <c r="F15" s="10"/>
      <c r="G15" s="3"/>
      <c r="H15" s="229"/>
      <c r="I15" s="308"/>
      <c r="J15" s="308"/>
      <c r="K15" s="309"/>
      <c r="O15" s="630"/>
      <c r="P15" s="630"/>
      <c r="Q15" s="630"/>
      <c r="R15" s="630"/>
    </row>
    <row r="16" spans="2:18" x14ac:dyDescent="0.2">
      <c r="B16" s="413" t="s">
        <v>177</v>
      </c>
      <c r="C16" s="415"/>
      <c r="D16" s="415"/>
      <c r="E16" s="10" t="s">
        <v>14</v>
      </c>
      <c r="F16" s="10" t="s">
        <v>15</v>
      </c>
      <c r="G16" s="10" t="s">
        <v>16</v>
      </c>
      <c r="H16" s="188"/>
      <c r="I16" s="188"/>
      <c r="J16" s="188"/>
      <c r="K16" s="189"/>
      <c r="O16" s="630"/>
      <c r="P16" s="630"/>
      <c r="Q16" s="630"/>
      <c r="R16" s="630"/>
    </row>
    <row r="17" spans="2:18" x14ac:dyDescent="0.2">
      <c r="B17" s="200" t="s">
        <v>178</v>
      </c>
      <c r="C17" s="201"/>
      <c r="D17" s="201"/>
      <c r="E17" s="3"/>
      <c r="F17" s="3"/>
      <c r="G17" s="3"/>
      <c r="H17" s="188"/>
      <c r="I17" s="188"/>
      <c r="J17" s="188"/>
      <c r="K17" s="189"/>
      <c r="O17" s="630"/>
      <c r="P17" s="630"/>
      <c r="Q17" s="630"/>
      <c r="R17" s="630"/>
    </row>
    <row r="18" spans="2:18" x14ac:dyDescent="0.2">
      <c r="B18" s="200" t="s">
        <v>179</v>
      </c>
      <c r="C18" s="201"/>
      <c r="D18" s="201"/>
      <c r="E18" s="3"/>
      <c r="F18" s="3"/>
      <c r="G18" s="3"/>
      <c r="H18" s="188"/>
      <c r="I18" s="188"/>
      <c r="J18" s="188"/>
      <c r="K18" s="189"/>
    </row>
    <row r="19" spans="2:18" x14ac:dyDescent="0.2">
      <c r="B19" s="190" t="s">
        <v>180</v>
      </c>
      <c r="C19" s="215"/>
      <c r="D19" s="216"/>
      <c r="E19" s="10"/>
      <c r="F19" s="10"/>
      <c r="G19" s="3"/>
      <c r="H19" s="483"/>
      <c r="I19" s="323"/>
      <c r="J19" s="323"/>
      <c r="K19" s="410"/>
    </row>
    <row r="20" spans="2:18" x14ac:dyDescent="0.2">
      <c r="B20" s="202" t="s">
        <v>181</v>
      </c>
      <c r="C20" s="203"/>
      <c r="D20" s="203"/>
      <c r="E20" s="69"/>
      <c r="F20" s="70"/>
      <c r="G20" s="70"/>
      <c r="H20" s="390"/>
      <c r="I20" s="485"/>
      <c r="J20" s="485"/>
      <c r="K20" s="486"/>
    </row>
    <row r="21" spans="2:18" x14ac:dyDescent="0.2">
      <c r="B21" s="493" t="s">
        <v>182</v>
      </c>
      <c r="C21" s="494"/>
      <c r="D21" s="495"/>
      <c r="E21" s="10"/>
      <c r="F21" s="10"/>
      <c r="G21" s="3"/>
      <c r="H21" s="188"/>
      <c r="I21" s="188"/>
      <c r="J21" s="188"/>
      <c r="K21" s="189"/>
    </row>
    <row r="22" spans="2:18" x14ac:dyDescent="0.2">
      <c r="B22" s="493" t="s">
        <v>183</v>
      </c>
      <c r="C22" s="494"/>
      <c r="D22" s="495"/>
      <c r="E22" s="3"/>
      <c r="F22" s="3"/>
      <c r="G22" s="3"/>
      <c r="H22" s="188"/>
      <c r="I22" s="188"/>
      <c r="J22" s="188"/>
      <c r="K22" s="189"/>
    </row>
    <row r="23" spans="2:18" x14ac:dyDescent="0.2">
      <c r="B23" s="413" t="s">
        <v>184</v>
      </c>
      <c r="C23" s="415"/>
      <c r="D23" s="415"/>
      <c r="E23" s="10" t="s">
        <v>14</v>
      </c>
      <c r="F23" s="10" t="s">
        <v>15</v>
      </c>
      <c r="G23" s="10" t="s">
        <v>16</v>
      </c>
      <c r="H23" s="188"/>
      <c r="I23" s="188"/>
      <c r="J23" s="188"/>
      <c r="K23" s="189"/>
    </row>
    <row r="24" spans="2:18" x14ac:dyDescent="0.2">
      <c r="B24" s="200" t="s">
        <v>185</v>
      </c>
      <c r="C24" s="201"/>
      <c r="D24" s="201"/>
      <c r="E24" s="3"/>
      <c r="F24" s="3"/>
      <c r="G24" s="3"/>
      <c r="H24" s="188"/>
      <c r="I24" s="188"/>
      <c r="J24" s="188"/>
      <c r="K24" s="189"/>
    </row>
    <row r="25" spans="2:18" x14ac:dyDescent="0.2">
      <c r="B25" s="629" t="s">
        <v>186</v>
      </c>
      <c r="C25" s="201"/>
      <c r="D25" s="201"/>
      <c r="E25" s="10"/>
      <c r="F25" s="10"/>
      <c r="G25" s="3"/>
      <c r="H25" s="229"/>
      <c r="I25" s="308"/>
      <c r="J25" s="308"/>
      <c r="K25" s="309"/>
    </row>
    <row r="26" spans="2:18" x14ac:dyDescent="0.2">
      <c r="B26" s="200" t="s">
        <v>187</v>
      </c>
      <c r="C26" s="201"/>
      <c r="D26" s="201"/>
      <c r="E26" s="10"/>
      <c r="F26" s="10"/>
      <c r="G26" s="3"/>
      <c r="H26" s="188"/>
      <c r="I26" s="188"/>
      <c r="J26" s="188"/>
      <c r="K26" s="189"/>
    </row>
    <row r="27" spans="2:18" x14ac:dyDescent="0.2">
      <c r="B27" s="200" t="s">
        <v>188</v>
      </c>
      <c r="C27" s="201"/>
      <c r="D27" s="201"/>
      <c r="E27" s="3"/>
      <c r="F27" s="3"/>
      <c r="G27" s="3"/>
      <c r="H27" s="188"/>
      <c r="I27" s="188"/>
      <c r="J27" s="188"/>
      <c r="K27" s="189"/>
    </row>
    <row r="28" spans="2:18" x14ac:dyDescent="0.2">
      <c r="B28" s="413" t="s">
        <v>189</v>
      </c>
      <c r="C28" s="415"/>
      <c r="D28" s="415"/>
      <c r="E28" s="10" t="s">
        <v>14</v>
      </c>
      <c r="F28" s="10" t="s">
        <v>15</v>
      </c>
      <c r="G28" s="10" t="s">
        <v>16</v>
      </c>
      <c r="H28" s="188"/>
      <c r="I28" s="188"/>
      <c r="J28" s="188"/>
      <c r="K28" s="189"/>
    </row>
    <row r="29" spans="2:18" x14ac:dyDescent="0.2">
      <c r="B29" s="190" t="s">
        <v>190</v>
      </c>
      <c r="C29" s="215"/>
      <c r="D29" s="216"/>
      <c r="E29" s="10"/>
      <c r="F29" s="10"/>
      <c r="G29" s="3"/>
      <c r="H29" s="483"/>
      <c r="I29" s="323"/>
      <c r="J29" s="323"/>
      <c r="K29" s="410"/>
    </row>
    <row r="30" spans="2:18" ht="13.5" thickBot="1" x14ac:dyDescent="0.25">
      <c r="B30" s="202" t="s">
        <v>191</v>
      </c>
      <c r="C30" s="203"/>
      <c r="D30" s="203"/>
      <c r="E30" s="69"/>
      <c r="F30" s="70"/>
      <c r="G30" s="70"/>
      <c r="H30" s="390"/>
      <c r="I30" s="485"/>
      <c r="J30" s="485"/>
      <c r="K30" s="486"/>
    </row>
    <row r="31" spans="2:18" ht="13.5" thickBot="1" x14ac:dyDescent="0.25">
      <c r="B31" s="375" t="s">
        <v>34</v>
      </c>
      <c r="C31" s="244"/>
      <c r="D31" s="244"/>
      <c r="E31" s="244"/>
      <c r="F31" s="244"/>
      <c r="G31" s="244"/>
      <c r="H31" s="244"/>
      <c r="I31" s="244"/>
      <c r="J31" s="244"/>
      <c r="K31" s="245"/>
    </row>
    <row r="32" spans="2:18" x14ac:dyDescent="0.2">
      <c r="B32" s="411" t="s">
        <v>88</v>
      </c>
      <c r="C32" s="241"/>
      <c r="D32" s="241"/>
      <c r="E32" s="225" t="s">
        <v>37</v>
      </c>
      <c r="F32" s="225"/>
      <c r="G32" s="11" t="s">
        <v>16</v>
      </c>
      <c r="H32" s="258" t="s">
        <v>12</v>
      </c>
      <c r="I32" s="258"/>
      <c r="J32" s="258"/>
      <c r="K32" s="260"/>
    </row>
    <row r="33" spans="2:11" x14ac:dyDescent="0.2">
      <c r="B33" s="200" t="s">
        <v>192</v>
      </c>
      <c r="C33" s="201"/>
      <c r="D33" s="201"/>
      <c r="E33" s="265"/>
      <c r="F33" s="265"/>
      <c r="G33" s="6"/>
      <c r="H33" s="229"/>
      <c r="I33" s="308"/>
      <c r="J33" s="308"/>
      <c r="K33" s="309"/>
    </row>
    <row r="34" spans="2:11" x14ac:dyDescent="0.2">
      <c r="B34" s="200" t="s">
        <v>193</v>
      </c>
      <c r="C34" s="201"/>
      <c r="D34" s="201"/>
      <c r="E34" s="265"/>
      <c r="F34" s="265"/>
      <c r="G34" s="6"/>
      <c r="H34" s="229"/>
      <c r="I34" s="308"/>
      <c r="J34" s="308"/>
      <c r="K34" s="309"/>
    </row>
    <row r="35" spans="2:11" x14ac:dyDescent="0.2">
      <c r="B35" s="190" t="s">
        <v>194</v>
      </c>
      <c r="C35" s="215"/>
      <c r="D35" s="216"/>
      <c r="E35" s="265"/>
      <c r="F35" s="265"/>
      <c r="G35" s="6"/>
      <c r="H35" s="229"/>
      <c r="I35" s="308"/>
      <c r="J35" s="308"/>
      <c r="K35" s="309"/>
    </row>
    <row r="36" spans="2:11" x14ac:dyDescent="0.2">
      <c r="B36" s="200" t="s">
        <v>195</v>
      </c>
      <c r="C36" s="201"/>
      <c r="D36" s="201"/>
      <c r="E36" s="483"/>
      <c r="F36" s="324"/>
      <c r="G36" s="6"/>
      <c r="H36" s="229"/>
      <c r="I36" s="308"/>
      <c r="J36" s="308"/>
      <c r="K36" s="309"/>
    </row>
    <row r="37" spans="2:11" ht="13.5" thickBot="1" x14ac:dyDescent="0.25">
      <c r="B37" s="190" t="s">
        <v>196</v>
      </c>
      <c r="C37" s="215"/>
      <c r="D37" s="216"/>
      <c r="E37" s="265"/>
      <c r="F37" s="265"/>
      <c r="G37" s="6"/>
      <c r="H37" s="229"/>
      <c r="I37" s="308"/>
      <c r="J37" s="308"/>
      <c r="K37" s="309"/>
    </row>
    <row r="38" spans="2:11" ht="12.75" customHeight="1" x14ac:dyDescent="0.2">
      <c r="B38" s="642" t="s">
        <v>197</v>
      </c>
      <c r="C38" s="643"/>
      <c r="D38" s="644"/>
      <c r="E38" s="466" t="s">
        <v>90</v>
      </c>
      <c r="F38" s="467"/>
      <c r="G38" s="470"/>
      <c r="H38" s="472"/>
      <c r="I38" s="225"/>
      <c r="J38" s="225"/>
      <c r="K38" s="249"/>
    </row>
    <row r="39" spans="2:11" ht="15.75" customHeight="1" thickBot="1" x14ac:dyDescent="0.25">
      <c r="B39" s="645"/>
      <c r="C39" s="646"/>
      <c r="D39" s="647"/>
      <c r="E39" s="468"/>
      <c r="F39" s="469"/>
      <c r="G39" s="471"/>
      <c r="H39" s="408"/>
      <c r="I39" s="188"/>
      <c r="J39" s="188"/>
      <c r="K39" s="189"/>
    </row>
    <row r="40" spans="2:11" ht="15" customHeight="1" x14ac:dyDescent="0.2">
      <c r="B40" s="645"/>
      <c r="C40" s="646"/>
      <c r="D40" s="647"/>
      <c r="E40" s="473" t="s">
        <v>91</v>
      </c>
      <c r="F40" s="474"/>
      <c r="G40" s="476"/>
      <c r="H40" s="408"/>
      <c r="I40" s="188"/>
      <c r="J40" s="188"/>
      <c r="K40" s="189"/>
    </row>
    <row r="41" spans="2:11" ht="15.75" customHeight="1" thickBot="1" x14ac:dyDescent="0.25">
      <c r="B41" s="648"/>
      <c r="C41" s="649"/>
      <c r="D41" s="650"/>
      <c r="E41" s="475"/>
      <c r="F41" s="469"/>
      <c r="G41" s="477"/>
      <c r="H41" s="478"/>
      <c r="I41" s="231"/>
      <c r="J41" s="231"/>
      <c r="K41" s="233"/>
    </row>
    <row r="42" spans="2:11" ht="12.75" customHeight="1" x14ac:dyDescent="0.2">
      <c r="B42" s="191" t="s">
        <v>92</v>
      </c>
      <c r="C42" s="193"/>
      <c r="D42" s="191" t="s">
        <v>216</v>
      </c>
      <c r="E42" s="192"/>
      <c r="F42" s="192"/>
      <c r="G42" s="193"/>
      <c r="H42" s="191" t="s">
        <v>217</v>
      </c>
      <c r="I42" s="192"/>
      <c r="J42" s="192"/>
      <c r="K42" s="193"/>
    </row>
    <row r="43" spans="2:11" ht="15" customHeight="1" x14ac:dyDescent="0.2">
      <c r="B43" s="194"/>
      <c r="C43" s="196"/>
      <c r="D43" s="194"/>
      <c r="E43" s="195"/>
      <c r="F43" s="195"/>
      <c r="G43" s="196"/>
      <c r="H43" s="194"/>
      <c r="I43" s="195"/>
      <c r="J43" s="195"/>
      <c r="K43" s="196"/>
    </row>
    <row r="44" spans="2:11" ht="15" customHeight="1" x14ac:dyDescent="0.2">
      <c r="B44" s="194"/>
      <c r="C44" s="196"/>
      <c r="D44" s="194"/>
      <c r="E44" s="195"/>
      <c r="F44" s="195"/>
      <c r="G44" s="196"/>
      <c r="H44" s="194"/>
      <c r="I44" s="195"/>
      <c r="J44" s="195"/>
      <c r="K44" s="196"/>
    </row>
    <row r="45" spans="2:11" ht="61.5" customHeight="1" thickBot="1" x14ac:dyDescent="0.25">
      <c r="B45" s="197"/>
      <c r="C45" s="199"/>
      <c r="D45" s="197"/>
      <c r="E45" s="198"/>
      <c r="F45" s="198"/>
      <c r="G45" s="199"/>
      <c r="H45" s="197"/>
      <c r="I45" s="198"/>
      <c r="J45" s="198"/>
      <c r="K45" s="199"/>
    </row>
  </sheetData>
  <mergeCells count="98">
    <mergeCell ref="H42:K45"/>
    <mergeCell ref="D42:G45"/>
    <mergeCell ref="B42:C45"/>
    <mergeCell ref="B38:D41"/>
    <mergeCell ref="B11:D11"/>
    <mergeCell ref="H11:K11"/>
    <mergeCell ref="H12:K12"/>
    <mergeCell ref="B14:D14"/>
    <mergeCell ref="H14:K14"/>
    <mergeCell ref="B17:D17"/>
    <mergeCell ref="H17:K17"/>
    <mergeCell ref="B20:D20"/>
    <mergeCell ref="H20:K20"/>
    <mergeCell ref="B21:D21"/>
    <mergeCell ref="H21:K21"/>
    <mergeCell ref="B22:D22"/>
    <mergeCell ref="C7:H7"/>
    <mergeCell ref="J7:K7"/>
    <mergeCell ref="J8:K8"/>
    <mergeCell ref="B9:K9"/>
    <mergeCell ref="B10:D10"/>
    <mergeCell ref="E10:G10"/>
    <mergeCell ref="H10:K10"/>
    <mergeCell ref="E8:F8"/>
    <mergeCell ref="G8:H8"/>
    <mergeCell ref="C8:D8"/>
    <mergeCell ref="C1:H1"/>
    <mergeCell ref="I1:K1"/>
    <mergeCell ref="B2:H2"/>
    <mergeCell ref="I2:J3"/>
    <mergeCell ref="K2:K3"/>
    <mergeCell ref="B3:H3"/>
    <mergeCell ref="B4:C5"/>
    <mergeCell ref="D4:E5"/>
    <mergeCell ref="F4:K5"/>
    <mergeCell ref="C6:H6"/>
    <mergeCell ref="J6:K6"/>
    <mergeCell ref="O12:R12"/>
    <mergeCell ref="B13:D13"/>
    <mergeCell ref="H13:K13"/>
    <mergeCell ref="O13:R13"/>
    <mergeCell ref="B12:D12"/>
    <mergeCell ref="O14:R14"/>
    <mergeCell ref="B15:D15"/>
    <mergeCell ref="H15:K15"/>
    <mergeCell ref="O15:R15"/>
    <mergeCell ref="B16:D16"/>
    <mergeCell ref="H16:K16"/>
    <mergeCell ref="O16:R16"/>
    <mergeCell ref="O17:R17"/>
    <mergeCell ref="B18:D18"/>
    <mergeCell ref="H18:K18"/>
    <mergeCell ref="B19:D19"/>
    <mergeCell ref="H19:K19"/>
    <mergeCell ref="H22:K22"/>
    <mergeCell ref="B23:D23"/>
    <mergeCell ref="H23:K23"/>
    <mergeCell ref="B24:D24"/>
    <mergeCell ref="H24:K24"/>
    <mergeCell ref="B25:D25"/>
    <mergeCell ref="H25:K25"/>
    <mergeCell ref="B26:D26"/>
    <mergeCell ref="H26:K26"/>
    <mergeCell ref="B27:D27"/>
    <mergeCell ref="H27:K27"/>
    <mergeCell ref="B28:D28"/>
    <mergeCell ref="H28:K28"/>
    <mergeCell ref="B29:D29"/>
    <mergeCell ref="H29:K29"/>
    <mergeCell ref="B30:D30"/>
    <mergeCell ref="H30:K30"/>
    <mergeCell ref="B31:K31"/>
    <mergeCell ref="B32:D32"/>
    <mergeCell ref="E32:F32"/>
    <mergeCell ref="H32:K32"/>
    <mergeCell ref="B33:D33"/>
    <mergeCell ref="E33:F33"/>
    <mergeCell ref="H33:K33"/>
    <mergeCell ref="B34:D34"/>
    <mergeCell ref="E34:F34"/>
    <mergeCell ref="H34:K34"/>
    <mergeCell ref="B35:D35"/>
    <mergeCell ref="E35:F35"/>
    <mergeCell ref="H35:K35"/>
    <mergeCell ref="B36:D36"/>
    <mergeCell ref="E36:F36"/>
    <mergeCell ref="H36:K36"/>
    <mergeCell ref="E40:F41"/>
    <mergeCell ref="G40:G41"/>
    <mergeCell ref="H40:K40"/>
    <mergeCell ref="H41:K41"/>
    <mergeCell ref="B37:D37"/>
    <mergeCell ref="E37:F37"/>
    <mergeCell ref="H37:K37"/>
    <mergeCell ref="E38:F39"/>
    <mergeCell ref="G38:G39"/>
    <mergeCell ref="H38:K38"/>
    <mergeCell ref="H39:K39"/>
  </mergeCells>
  <conditionalFormatting sqref="J6:K7 C6:H7 C8 G8 E8">
    <cfRule type="cellIs" priority="2" operator="equal">
      <formula>0</formula>
    </cfRule>
  </conditionalFormatting>
  <conditionalFormatting sqref="J6:K7 C6:H7 C8 G8 E8">
    <cfRule type="cellIs" dxfId="0" priority="1" operator="equal">
      <formula>0</formula>
    </cfRule>
  </conditionalFormatting>
  <pageMargins left="0.35433070866141736" right="0.35433070866141736" top="0.74803149606299213" bottom="0.74803149606299213" header="0.31496062992125984" footer="0.31496062992125984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9</vt:i4>
      </vt:variant>
    </vt:vector>
  </HeadingPairs>
  <TitlesOfParts>
    <vt:vector size="27" baseType="lpstr">
      <vt:lpstr>INDICE</vt:lpstr>
      <vt:lpstr>Monitores</vt:lpstr>
      <vt:lpstr>Oximetro</vt:lpstr>
      <vt:lpstr>DEA</vt:lpstr>
      <vt:lpstr>Desfibriladores</vt:lpstr>
      <vt:lpstr>DEA-dia DEFIBTECH</vt:lpstr>
      <vt:lpstr>DEA-G.P</vt:lpstr>
      <vt:lpstr>DEA 1-SAMU</vt:lpstr>
      <vt:lpstr>DEA 2-SAMU</vt:lpstr>
      <vt:lpstr>DEA 3-SAMU</vt:lpstr>
      <vt:lpstr>DEA-UEPI </vt:lpstr>
      <vt:lpstr>DEA-CEM 1 PISO</vt:lpstr>
      <vt:lpstr>DEA-CEM 3 PISO</vt:lpstr>
      <vt:lpstr>Ventiladores</vt:lpstr>
      <vt:lpstr>MAnestesia</vt:lpstr>
      <vt:lpstr>Incubadoras Semestral</vt:lpstr>
      <vt:lpstr>Incubadoras Trimestral</vt:lpstr>
      <vt:lpstr>Diálisis</vt:lpstr>
      <vt:lpstr>DEA!Área_de_impresión</vt:lpstr>
      <vt:lpstr>Desfibriladores!Área_de_impresión</vt:lpstr>
      <vt:lpstr>Diálisis!Área_de_impresión</vt:lpstr>
      <vt:lpstr>'Incubadoras Semestral'!Área_de_impresión</vt:lpstr>
      <vt:lpstr>'Incubadoras Trimestral'!Área_de_impresión</vt:lpstr>
      <vt:lpstr>MAnestesia!Área_de_impresión</vt:lpstr>
      <vt:lpstr>Monitores!Área_de_impresión</vt:lpstr>
      <vt:lpstr>Oximetro!Área_de_impresión</vt:lpstr>
      <vt:lpstr>Ventiladores!Área_de_impresión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</dc:creator>
  <cp:lastModifiedBy>sim25</cp:lastModifiedBy>
  <cp:lastPrinted>2026-02-05T17:31:15Z</cp:lastPrinted>
  <dcterms:created xsi:type="dcterms:W3CDTF">2016-12-26T20:24:10Z</dcterms:created>
  <dcterms:modified xsi:type="dcterms:W3CDTF">2026-02-05T17:31:20Z</dcterms:modified>
</cp:coreProperties>
</file>